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SAM Excel\"/>
    </mc:Choice>
  </mc:AlternateContent>
  <xr:revisionPtr revIDLastSave="0" documentId="13_ncr:1_{8D63D6BC-AA6D-4D94-A82B-126A94F1E882}" xr6:coauthVersionLast="47" xr6:coauthVersionMax="47" xr10:uidLastSave="{00000000-0000-0000-0000-000000000000}"/>
  <bookViews>
    <workbookView xWindow="-108" yWindow="-108" windowWidth="23256" windowHeight="12456" activeTab="5" xr2:uid="{D302AC6E-E8C4-4385-BB3C-FCF1B42F6E57}"/>
  </bookViews>
  <sheets>
    <sheet name="Pie Chart" sheetId="2" r:id="rId1"/>
    <sheet name="Donut Chart" sheetId="3" r:id="rId2"/>
    <sheet name="Column Chart" sheetId="4" r:id="rId3"/>
    <sheet name="Line Chart" sheetId="5" r:id="rId4"/>
    <sheet name="Combo Chart" sheetId="9" r:id="rId5"/>
    <sheet name="Dashboard" sheetId="10" r:id="rId6"/>
    <sheet name="Pivot_Table_3" sheetId="1" r:id="rId7"/>
  </sheets>
  <definedNames>
    <definedName name="Slicer_Month">#N/A</definedName>
    <definedName name="Slicer_Territory">#N/A</definedName>
  </definedNames>
  <calcPr calcId="18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1" i="1" l="1"/>
  <c r="L31" i="1" s="1"/>
  <c r="M31" i="1" s="1"/>
  <c r="K30" i="1"/>
  <c r="L30" i="1" s="1"/>
  <c r="M30" i="1" s="1"/>
  <c r="K29" i="1"/>
  <c r="L29" i="1" s="1"/>
  <c r="M29" i="1" s="1"/>
  <c r="K28" i="1"/>
  <c r="L28" i="1" s="1"/>
  <c r="M28" i="1" s="1"/>
  <c r="K27" i="1"/>
  <c r="L27" i="1" s="1"/>
  <c r="M27" i="1" s="1"/>
  <c r="K26" i="1"/>
  <c r="L26" i="1" s="1"/>
  <c r="M26" i="1" s="1"/>
  <c r="K25" i="1"/>
  <c r="L25" i="1" s="1"/>
  <c r="M25" i="1" s="1"/>
  <c r="K24" i="1"/>
  <c r="L24" i="1" s="1"/>
  <c r="M24" i="1" s="1"/>
  <c r="K23" i="1"/>
  <c r="L23" i="1" s="1"/>
  <c r="M23" i="1" s="1"/>
  <c r="K22" i="1"/>
  <c r="L22" i="1" s="1"/>
  <c r="M22" i="1" s="1"/>
  <c r="K21" i="1"/>
  <c r="L21" i="1" s="1"/>
  <c r="M21" i="1" s="1"/>
  <c r="K20" i="1"/>
  <c r="L20" i="1" s="1"/>
  <c r="M20" i="1" s="1"/>
  <c r="K19" i="1"/>
  <c r="L19" i="1" s="1"/>
  <c r="M19" i="1" s="1"/>
  <c r="K18" i="1"/>
  <c r="L18" i="1" s="1"/>
  <c r="M18" i="1" s="1"/>
  <c r="K17" i="1"/>
  <c r="L17" i="1" s="1"/>
  <c r="M17" i="1" s="1"/>
  <c r="K16" i="1"/>
  <c r="L16" i="1" s="1"/>
  <c r="M16" i="1" s="1"/>
  <c r="K15" i="1"/>
  <c r="L15" i="1" s="1"/>
  <c r="M15" i="1" s="1"/>
  <c r="K14" i="1"/>
  <c r="L14" i="1" s="1"/>
  <c r="M14" i="1" s="1"/>
  <c r="K13" i="1"/>
  <c r="L13" i="1" s="1"/>
  <c r="M13" i="1" s="1"/>
  <c r="K12" i="1"/>
  <c r="L12" i="1" s="1"/>
  <c r="M12" i="1" s="1"/>
  <c r="K11" i="1"/>
  <c r="L11" i="1" s="1"/>
  <c r="M11" i="1" s="1"/>
  <c r="K10" i="1"/>
  <c r="L10" i="1" s="1"/>
  <c r="M10" i="1" s="1"/>
  <c r="K9" i="1"/>
  <c r="L9" i="1" s="1"/>
  <c r="M9" i="1" s="1"/>
  <c r="K8" i="1"/>
  <c r="L8" i="1" s="1"/>
  <c r="M8" i="1" s="1"/>
  <c r="K7" i="1"/>
  <c r="L7" i="1" s="1"/>
  <c r="M7" i="1" s="1"/>
  <c r="K6" i="1"/>
  <c r="L6" i="1" s="1"/>
  <c r="M6" i="1" s="1"/>
  <c r="K5" i="1"/>
  <c r="L5" i="1" s="1"/>
  <c r="M5" i="1" s="1"/>
  <c r="K4" i="1"/>
  <c r="L4" i="1" s="1"/>
  <c r="M4" i="1" s="1"/>
  <c r="K3" i="1"/>
  <c r="L3" i="1" s="1"/>
  <c r="M3" i="1" s="1"/>
  <c r="K2" i="1"/>
  <c r="L2" i="1" s="1"/>
  <c r="M2" i="1" s="1"/>
</calcChain>
</file>

<file path=xl/sharedStrings.xml><?xml version="1.0" encoding="utf-8"?>
<sst xmlns="http://schemas.openxmlformats.org/spreadsheetml/2006/main" count="263" uniqueCount="107">
  <si>
    <t>Product Code</t>
  </si>
  <si>
    <t>Product Name</t>
  </si>
  <si>
    <t>Price/Unit</t>
  </si>
  <si>
    <t>Basic Price</t>
  </si>
  <si>
    <t>Month</t>
  </si>
  <si>
    <t>Region</t>
  </si>
  <si>
    <t>Area</t>
  </si>
  <si>
    <t>Territory</t>
  </si>
  <si>
    <t>Agent</t>
  </si>
  <si>
    <t>Units Sold</t>
  </si>
  <si>
    <t>Sales Value</t>
  </si>
  <si>
    <t>Commission</t>
  </si>
  <si>
    <t>Profit</t>
  </si>
  <si>
    <t>PC019</t>
  </si>
  <si>
    <t>Dettol</t>
  </si>
  <si>
    <t>Jan</t>
  </si>
  <si>
    <t>East</t>
  </si>
  <si>
    <t>Assam</t>
  </si>
  <si>
    <t>Dispur</t>
  </si>
  <si>
    <t>ABC</t>
  </si>
  <si>
    <t>PC001</t>
  </si>
  <si>
    <t>Lux</t>
  </si>
  <si>
    <t>West</t>
  </si>
  <si>
    <t>Gujarat</t>
  </si>
  <si>
    <t>Vadodara</t>
  </si>
  <si>
    <t>GTC</t>
  </si>
  <si>
    <t>PC003</t>
  </si>
  <si>
    <t>Cello Pen</t>
  </si>
  <si>
    <t>North</t>
  </si>
  <si>
    <t>J&amp;K</t>
  </si>
  <si>
    <t>Jammu</t>
  </si>
  <si>
    <t>JKTC</t>
  </si>
  <si>
    <t>PC043</t>
  </si>
  <si>
    <t>Print Paper</t>
  </si>
  <si>
    <t>South</t>
  </si>
  <si>
    <t>Karnataka</t>
  </si>
  <si>
    <t>Bangalore</t>
  </si>
  <si>
    <t>KATC</t>
  </si>
  <si>
    <t>PC021</t>
  </si>
  <si>
    <t>Pepsodent</t>
  </si>
  <si>
    <t>Meghalaya</t>
  </si>
  <si>
    <t>Shillong</t>
  </si>
  <si>
    <t>MTC</t>
  </si>
  <si>
    <t>Feb</t>
  </si>
  <si>
    <t>Rajesthan</t>
  </si>
  <si>
    <t>Bikaner</t>
  </si>
  <si>
    <t>RTC</t>
  </si>
  <si>
    <t>HP</t>
  </si>
  <si>
    <t>Simla</t>
  </si>
  <si>
    <t>HPTC</t>
  </si>
  <si>
    <t>Kerala</t>
  </si>
  <si>
    <t>Kochi</t>
  </si>
  <si>
    <t>KETC</t>
  </si>
  <si>
    <t>Manipur</t>
  </si>
  <si>
    <t>Imphal</t>
  </si>
  <si>
    <t>MATC</t>
  </si>
  <si>
    <t>Ajmer</t>
  </si>
  <si>
    <t>Mar</t>
  </si>
  <si>
    <t>Punjab</t>
  </si>
  <si>
    <t>Amrithsar</t>
  </si>
  <si>
    <t>PTC</t>
  </si>
  <si>
    <t>TN</t>
  </si>
  <si>
    <t>Chennai</t>
  </si>
  <si>
    <t>TNTC</t>
  </si>
  <si>
    <t>Nagaland</t>
  </si>
  <si>
    <t>Kohima</t>
  </si>
  <si>
    <t>NTC</t>
  </si>
  <si>
    <t>Ahmedabad</t>
  </si>
  <si>
    <t>Uttaranchal</t>
  </si>
  <si>
    <t>Nanital</t>
  </si>
  <si>
    <t>UTC</t>
  </si>
  <si>
    <t>Apr</t>
  </si>
  <si>
    <t>AP</t>
  </si>
  <si>
    <t>Hyderabad</t>
  </si>
  <si>
    <t>APTC</t>
  </si>
  <si>
    <t>Tripura</t>
  </si>
  <si>
    <t>Agarthala</t>
  </si>
  <si>
    <t>TTC</t>
  </si>
  <si>
    <t>Maharastra</t>
  </si>
  <si>
    <t>Mumbai</t>
  </si>
  <si>
    <t>MHTC</t>
  </si>
  <si>
    <t>Delhi</t>
  </si>
  <si>
    <t>DTC</t>
  </si>
  <si>
    <t>Trichy</t>
  </si>
  <si>
    <t>Jun</t>
  </si>
  <si>
    <t>TRTC</t>
  </si>
  <si>
    <t>Nasik</t>
  </si>
  <si>
    <t>Kapurthala</t>
  </si>
  <si>
    <t>Warangal</t>
  </si>
  <si>
    <t>Arunachal Pradesh</t>
  </si>
  <si>
    <t>Itanagar</t>
  </si>
  <si>
    <t>ARTC</t>
  </si>
  <si>
    <t>Jul</t>
  </si>
  <si>
    <t>Jaipur</t>
  </si>
  <si>
    <t>Manali</t>
  </si>
  <si>
    <t>Kollam</t>
  </si>
  <si>
    <t>Bishnupur</t>
  </si>
  <si>
    <t>Row Labels</t>
  </si>
  <si>
    <t>Grand Total</t>
  </si>
  <si>
    <t>Sum of Profit</t>
  </si>
  <si>
    <t>1-50000</t>
  </si>
  <si>
    <t>50001-100000</t>
  </si>
  <si>
    <t>100001-150000</t>
  </si>
  <si>
    <t>150001-200000</t>
  </si>
  <si>
    <t>Sum of Units Sold</t>
  </si>
  <si>
    <t>Sum of Cost Price</t>
  </si>
  <si>
    <t>Units Sold_1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</si>
</sst>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2" fillId="0" borderId="0" xfId="1" applyFont="1"/>
    <xf numFmtId="0" fontId="1" fillId="0" borderId="0" xfId="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Normal 2 2" xfId="1" xr:uid="{F0268780-6B62-463E-8FB0-4870A08ACCBC}"/>
  </cellStyles>
  <dxfs count="0"/>
  <tableStyles count="0" defaultTableStyle="TableStyleMedium2" defaultPivotStyle="PivotStyleLight16"/>
  <colors>
    <mruColors>
      <color rgb="FFFFD03B"/>
      <color rgb="FF2CE02C"/>
      <color rgb="FFFF0000"/>
      <color rgb="FF38D2EC"/>
      <color rgb="FF4CD7EE"/>
      <color rgb="FF6FDE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[charts.xlsx]Pie Chart!PivotTable5</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Sales</a:t>
            </a:r>
            <a:r>
              <a:rPr lang="en-US" b="1" baseline="0"/>
              <a:t> Value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rgbClr val="38D2EC"/>
          </a:solidFill>
          <a:ln w="25400">
            <a:solidFill>
              <a:schemeClr val="lt1"/>
            </a:solidFill>
          </a:ln>
          <a:effectLst/>
          <a:sp3d contourW="25400">
            <a:contourClr>
              <a:schemeClr val="lt1"/>
            </a:contourClr>
          </a:sp3d>
        </c:spPr>
        <c:dLbl>
          <c:idx val="0"/>
          <c:layout>
            <c:manualLayout>
              <c:x val="-4.9261083743842374E-2"/>
              <c:y val="-3.2502708559046654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fld id="{ECB3FB1D-5A7F-4504-AEDF-395C433C18FE}" type="CATEGORYNAME">
                  <a:rPr lang="en-US" sz="1000" b="1">
                    <a:solidFill>
                      <a:schemeClr val="tx1"/>
                    </a:solidFill>
                  </a:rPr>
                  <a:pPr>
                    <a:defRPr sz="1000" b="1">
                      <a:solidFill>
                        <a:schemeClr val="tx1"/>
                      </a:solidFill>
                    </a:defRPr>
                  </a:pPr>
                  <a:t>[CATEGORY NAME]</a:t>
                </a:fld>
                <a:r>
                  <a:rPr lang="en-US" sz="1000" b="1">
                    <a:solidFill>
                      <a:schemeClr val="tx1"/>
                    </a:solidFill>
                  </a:rPr>
                  <a:t>
</a:t>
                </a:r>
                <a:fld id="{B45EC603-1E2D-4798-B294-0E454AA723D4}" type="PERCENTAGE">
                  <a:rPr lang="en-US" sz="1000" b="1">
                    <a:solidFill>
                      <a:schemeClr val="tx1"/>
                    </a:solidFill>
                  </a:rPr>
                  <a:pPr>
                    <a:defRPr sz="1000" b="1">
                      <a:solidFill>
                        <a:schemeClr val="tx1"/>
                      </a:solidFill>
                    </a:defRPr>
                  </a:pPr>
                  <a:t>[PERCENTAGE]</a:t>
                </a:fld>
                <a:endParaRPr lang="en-US" sz="1000" b="1">
                  <a:solidFill>
                    <a:schemeClr val="tx1"/>
                  </a:solidFill>
                </a:endParaRPr>
              </a:p>
            </c:rich>
          </c:tx>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8"/>
        <c:spPr>
          <a:solidFill>
            <a:srgbClr val="FFD03B"/>
          </a:solidFill>
          <a:ln w="25400">
            <a:solidFill>
              <a:schemeClr val="lt1"/>
            </a:solidFill>
          </a:ln>
          <a:effectLst/>
          <a:sp3d contourW="25400">
            <a:contourClr>
              <a:schemeClr val="lt1"/>
            </a:contourClr>
          </a:sp3d>
        </c:spPr>
        <c:dLbl>
          <c:idx val="0"/>
          <c:layout>
            <c:manualLayout>
              <c:x val="5.9523809523809451E-2"/>
              <c:y val="-6.1394005055976919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2CE02C"/>
          </a:solidFill>
          <a:ln w="25400">
            <a:solidFill>
              <a:schemeClr val="lt1"/>
            </a:solidFill>
          </a:ln>
          <a:effectLst/>
          <a:sp3d contourW="25400">
            <a:contourClr>
              <a:schemeClr val="lt1"/>
            </a:contourClr>
          </a:sp3d>
        </c:spPr>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FF0000"/>
          </a:solidFill>
          <a:ln w="25400">
            <a:solidFill>
              <a:schemeClr val="lt1"/>
            </a:solidFill>
          </a:ln>
          <a:effectLst/>
          <a:sp3d contourW="25400">
            <a:contourClr>
              <a:schemeClr val="lt1"/>
            </a:contourClr>
          </a:sp3d>
        </c:spPr>
        <c:dLbl>
          <c:idx val="0"/>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10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967450189415983E-2"/>
          <c:y val="0.20861535049180607"/>
          <c:w val="0.68461851751289704"/>
          <c:h val="0.71310516033816462"/>
        </c:manualLayout>
      </c:layout>
      <c:pie3DChart>
        <c:varyColors val="1"/>
        <c:ser>
          <c:idx val="0"/>
          <c:order val="0"/>
          <c:tx>
            <c:strRef>
              <c:f>'Pie Chart'!$B$3</c:f>
              <c:strCache>
                <c:ptCount val="1"/>
                <c:pt idx="0">
                  <c:v>Total</c:v>
                </c:pt>
              </c:strCache>
            </c:strRef>
          </c:tx>
          <c:dPt>
            <c:idx val="0"/>
            <c:bubble3D val="0"/>
            <c:spPr>
              <a:solidFill>
                <a:srgbClr val="2CE02C"/>
              </a:solidFill>
              <a:ln w="25400">
                <a:solidFill>
                  <a:schemeClr val="lt1"/>
                </a:solidFill>
              </a:ln>
              <a:effectLst/>
              <a:sp3d contourW="25400">
                <a:contourClr>
                  <a:schemeClr val="lt1"/>
                </a:contourClr>
              </a:sp3d>
            </c:spPr>
            <c:extLst>
              <c:ext xmlns:c16="http://schemas.microsoft.com/office/drawing/2014/chart" uri="{C3380CC4-5D6E-409C-BE32-E72D297353CC}">
                <c16:uniqueId val="{00000025-3AB0-40F5-81DA-20C26CA2EF17}"/>
              </c:ext>
            </c:extLst>
          </c:dPt>
          <c:dPt>
            <c:idx val="1"/>
            <c:bubble3D val="0"/>
            <c:spPr>
              <a:solidFill>
                <a:srgbClr val="38D2EC"/>
              </a:solidFill>
              <a:ln w="25400">
                <a:solidFill>
                  <a:schemeClr val="lt1"/>
                </a:solidFill>
              </a:ln>
              <a:effectLst/>
              <a:sp3d contourW="25400">
                <a:contourClr>
                  <a:schemeClr val="lt1"/>
                </a:contourClr>
              </a:sp3d>
            </c:spPr>
            <c:extLst>
              <c:ext xmlns:c16="http://schemas.microsoft.com/office/drawing/2014/chart" uri="{C3380CC4-5D6E-409C-BE32-E72D297353CC}">
                <c16:uniqueId val="{00000022-3AB0-40F5-81DA-20C26CA2EF17}"/>
              </c:ext>
            </c:extLst>
          </c:dPt>
          <c:dPt>
            <c:idx val="2"/>
            <c:bubble3D val="0"/>
            <c:spPr>
              <a:solidFill>
                <a:srgbClr val="FFD03B"/>
              </a:solidFill>
              <a:ln w="25400">
                <a:solidFill>
                  <a:schemeClr val="lt1"/>
                </a:solidFill>
              </a:ln>
              <a:effectLst/>
              <a:sp3d contourW="25400">
                <a:contourClr>
                  <a:schemeClr val="lt1"/>
                </a:contourClr>
              </a:sp3d>
            </c:spPr>
            <c:extLst>
              <c:ext xmlns:c16="http://schemas.microsoft.com/office/drawing/2014/chart" uri="{C3380CC4-5D6E-409C-BE32-E72D297353CC}">
                <c16:uniqueId val="{0000002D-3AB0-40F5-81DA-20C26CA2EF17}"/>
              </c:ext>
            </c:extLst>
          </c:dPt>
          <c:dPt>
            <c:idx val="3"/>
            <c:bubble3D val="0"/>
            <c:explosion val="6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2C-3AB0-40F5-81DA-20C26CA2EF17}"/>
              </c:ext>
            </c:extLst>
          </c:dPt>
          <c:dLbls>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5-3AB0-40F5-81DA-20C26CA2EF17}"/>
                </c:ext>
              </c:extLst>
            </c:dLbl>
            <c:dLbl>
              <c:idx val="1"/>
              <c:layout>
                <c:manualLayout>
                  <c:x val="-4.9261083743842374E-2"/>
                  <c:y val="-3.2502708559046654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fld id="{ECB3FB1D-5A7F-4504-AEDF-395C433C18FE}" type="CATEGORYNAME">
                      <a:rPr lang="en-US" sz="1000" b="1">
                        <a:solidFill>
                          <a:schemeClr val="tx1"/>
                        </a:solidFill>
                      </a:rPr>
                      <a:pPr>
                        <a:defRPr sz="1000" b="1">
                          <a:solidFill>
                            <a:schemeClr val="tx1"/>
                          </a:solidFill>
                        </a:defRPr>
                      </a:pPr>
                      <a:t>[CATEGORY NAME]</a:t>
                    </a:fld>
                    <a:r>
                      <a:rPr lang="en-US" sz="1000" b="1">
                        <a:solidFill>
                          <a:schemeClr val="tx1"/>
                        </a:solidFill>
                      </a:rPr>
                      <a:t>
</a:t>
                    </a:r>
                    <a:fld id="{B45EC603-1E2D-4798-B294-0E454AA723D4}" type="PERCENTAGE">
                      <a:rPr lang="en-US" sz="1000" b="1">
                        <a:solidFill>
                          <a:schemeClr val="tx1"/>
                        </a:solidFill>
                      </a:rPr>
                      <a:pPr>
                        <a:defRPr sz="1000" b="1">
                          <a:solidFill>
                            <a:schemeClr val="tx1"/>
                          </a:solidFill>
                        </a:defRPr>
                      </a:pPr>
                      <a:t>[PERCENTAGE]</a:t>
                    </a:fld>
                    <a:endParaRPr lang="en-US" sz="1000" b="1">
                      <a:solidFill>
                        <a:schemeClr val="tx1"/>
                      </a:solidFill>
                    </a:endParaRPr>
                  </a:p>
                </c:rich>
              </c:tx>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22-3AB0-40F5-81DA-20C26CA2EF17}"/>
                </c:ext>
              </c:extLst>
            </c:dLbl>
            <c:dLbl>
              <c:idx val="2"/>
              <c:layout>
                <c:manualLayout>
                  <c:x val="5.9523809523809451E-2"/>
                  <c:y val="-6.1394005055976919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D-3AB0-40F5-81DA-20C26CA2EF17}"/>
                </c:ext>
              </c:extLst>
            </c:dLbl>
            <c:dLbl>
              <c:idx val="3"/>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2C-3AB0-40F5-81DA-20C26CA2EF1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Chart'!$A$4:$A$8</c:f>
              <c:strCache>
                <c:ptCount val="4"/>
                <c:pt idx="0">
                  <c:v>1-50000</c:v>
                </c:pt>
                <c:pt idx="1">
                  <c:v>50001-100000</c:v>
                </c:pt>
                <c:pt idx="2">
                  <c:v>100001-150000</c:v>
                </c:pt>
                <c:pt idx="3">
                  <c:v>150001-200000</c:v>
                </c:pt>
              </c:strCache>
            </c:strRef>
          </c:cat>
          <c:val>
            <c:numRef>
              <c:f>'Pie Chart'!$B$4:$B$8</c:f>
              <c:numCache>
                <c:formatCode>General</c:formatCode>
                <c:ptCount val="4"/>
                <c:pt idx="0">
                  <c:v>46544.5</c:v>
                </c:pt>
                <c:pt idx="1">
                  <c:v>26256.5</c:v>
                </c:pt>
                <c:pt idx="2">
                  <c:v>41604</c:v>
                </c:pt>
                <c:pt idx="3">
                  <c:v>6440</c:v>
                </c:pt>
              </c:numCache>
            </c:numRef>
          </c:val>
          <c:extLst>
            <c:ext xmlns:c16="http://schemas.microsoft.com/office/drawing/2014/chart" uri="{C3380CC4-5D6E-409C-BE32-E72D297353CC}">
              <c16:uniqueId val="{00000000-3AB0-40F5-81DA-20C26CA2EF17}"/>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[charts.xlsx]Donut Chart!PivotTable6</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Region</a:t>
            </a:r>
            <a:r>
              <a:rPr lang="en-US" b="1" baseline="0"/>
              <a:t> Wise Unit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0000"/>
          </a:solidFill>
          <a:ln w="19050">
            <a:solidFill>
              <a:schemeClr val="lt1"/>
            </a:solidFill>
          </a:ln>
          <a:effectLst/>
        </c:spPr>
        <c:dLbl>
          <c:idx val="0"/>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B050"/>
          </a:solidFill>
          <a:ln w="19050">
            <a:solidFill>
              <a:schemeClr val="lt1"/>
            </a:solidFill>
          </a:ln>
          <a:effectLst/>
        </c:spPr>
        <c:dLbl>
          <c:idx val="0"/>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E59-4630-842D-059DADB23F98}"/>
              </c:ext>
            </c:extLst>
          </c:dPt>
          <c:dPt>
            <c:idx val="1"/>
            <c:bubble3D val="0"/>
            <c:explosion val="45"/>
            <c:spPr>
              <a:solidFill>
                <a:srgbClr val="FF0000"/>
              </a:solidFill>
              <a:ln w="19050">
                <a:solidFill>
                  <a:schemeClr val="lt1"/>
                </a:solidFill>
              </a:ln>
              <a:effectLst/>
            </c:spPr>
            <c:extLst>
              <c:ext xmlns:c16="http://schemas.microsoft.com/office/drawing/2014/chart" uri="{C3380CC4-5D6E-409C-BE32-E72D297353CC}">
                <c16:uniqueId val="{00000003-3E59-4630-842D-059DADB23F9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4-3E59-4630-842D-059DADB23F9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3E59-4630-842D-059DADB23F98}"/>
              </c:ext>
            </c:extLst>
          </c:dPt>
          <c:dLbls>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3E59-4630-842D-059DADB23F98}"/>
                </c:ext>
              </c:extLst>
            </c:dLbl>
            <c:dLbl>
              <c:idx val="1"/>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E59-4630-842D-059DADB23F98}"/>
                </c:ext>
              </c:extLst>
            </c:dLbl>
            <c:dLbl>
              <c:idx val="2"/>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3E59-4630-842D-059DADB23F98}"/>
                </c:ext>
              </c:extLst>
            </c:dLbl>
            <c:dLbl>
              <c:idx val="3"/>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3E59-4630-842D-059DADB23F98}"/>
                </c:ext>
              </c:extLst>
            </c:dLbl>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'Donut Chart'!$A$4:$A$8</c:f>
              <c:strCache>
                <c:ptCount val="4"/>
                <c:pt idx="0">
                  <c:v>East</c:v>
                </c:pt>
                <c:pt idx="1">
                  <c:v>North</c:v>
                </c:pt>
                <c:pt idx="2">
                  <c:v>South</c:v>
                </c:pt>
                <c:pt idx="3">
                  <c:v>West</c:v>
                </c:pt>
              </c:strCache>
            </c:strRef>
          </c:cat>
          <c:val>
            <c:numRef>
              <c:f>'Donut Chart'!$B$4:$B$8</c:f>
              <c:numCache>
                <c:formatCode>General</c:formatCode>
                <c:ptCount val="4"/>
                <c:pt idx="0">
                  <c:v>8032</c:v>
                </c:pt>
                <c:pt idx="1">
                  <c:v>6518</c:v>
                </c:pt>
                <c:pt idx="2">
                  <c:v>14640</c:v>
                </c:pt>
                <c:pt idx="3">
                  <c:v>8129</c:v>
                </c:pt>
              </c:numCache>
            </c:numRef>
          </c:val>
          <c:extLst>
            <c:ext xmlns:c16="http://schemas.microsoft.com/office/drawing/2014/chart" uri="{C3380CC4-5D6E-409C-BE32-E72D297353CC}">
              <c16:uniqueId val="{00000000-3E59-4630-842D-059DADB23F98}"/>
            </c:ext>
          </c:extLst>
        </c:ser>
        <c:dLbls>
          <c:showLegendKey val="0"/>
          <c:showVal val="0"/>
          <c:showCatName val="0"/>
          <c:showSerName val="0"/>
          <c:showPercent val="0"/>
          <c:showBubbleSize val="0"/>
          <c:showLeaderLines val="0"/>
        </c:dLbls>
        <c:firstSliceAng val="0"/>
        <c:holeSize val="6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[charts.xlsx]Column Chart!PivotTable1</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Product</a:t>
            </a:r>
            <a:r>
              <a:rPr lang="en-US" b="1" baseline="0"/>
              <a:t>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50800" dist="38100" dir="5400000" algn="t" rotWithShape="0">
              <a:prstClr val="black">
                <a:alpha val="40000"/>
              </a:prstClr>
            </a:outerShdw>
          </a:effectLst>
          <a:sp3d/>
        </c:spPr>
        <c:marker>
          <c:symbol val="none"/>
        </c:marker>
        <c:dLbl>
          <c:idx val="0"/>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0000"/>
          </a:solidFill>
          <a:ln>
            <a:noFill/>
          </a:ln>
          <a:effectLst>
            <a:outerShdw blurRad="50800" dist="38100" dir="5400000" algn="t" rotWithShape="0">
              <a:prstClr val="black">
                <a:alpha val="40000"/>
              </a:prstClr>
            </a:outerShdw>
          </a:effectLst>
          <a:sp3d/>
        </c:spPr>
        <c:dLbl>
          <c:idx val="0"/>
          <c:layout>
            <c:manualLayout>
              <c:x val="-4.1666666666666768E-2"/>
              <c:y val="-8.3333333333333329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2CE02C"/>
          </a:solidFill>
          <a:ln>
            <a:noFill/>
          </a:ln>
          <a:effectLst>
            <a:outerShdw blurRad="50800" dist="38100" dir="5400000" algn="t" rotWithShape="0">
              <a:prstClr val="black">
                <a:alpha val="40000"/>
              </a:prstClr>
            </a:outerShdw>
          </a:effectLst>
          <a:sp3d/>
        </c:spPr>
        <c:dLbl>
          <c:idx val="0"/>
          <c:layout>
            <c:manualLayout>
              <c:x val="-8.0555555555555561E-2"/>
              <c:y val="-9.2592592592592379E-3"/>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outerShdw blurRad="50800" dist="38100" dir="5400000" algn="t" rotWithShape="0">
              <a:prstClr val="black">
                <a:alpha val="40000"/>
              </a:prstClr>
            </a:outerShdw>
          </a:effectLst>
          <a:sp3d/>
        </c:spPr>
        <c:dLbl>
          <c:idx val="0"/>
          <c:layout>
            <c:manualLayout>
              <c:x val="-4.4444444444444446E-2"/>
              <c:y val="-0.11574074074074074"/>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outerShdw blurRad="50800" dist="38100" dir="5400000" algn="t" rotWithShape="0">
              <a:prstClr val="black">
                <a:alpha val="40000"/>
              </a:prstClr>
            </a:outerShdw>
          </a:effectLst>
          <a:sp3d/>
        </c:spPr>
        <c:dLbl>
          <c:idx val="0"/>
          <c:layout>
            <c:manualLayout>
              <c:x val="-3.0555555555555555E-2"/>
              <c:y val="-0.1296296296296296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50800" dist="38100" dir="5400000" algn="t" rotWithShape="0">
              <a:prstClr val="black">
                <a:alpha val="40000"/>
              </a:prstClr>
            </a:outerShdw>
          </a:effectLst>
          <a:sp3d/>
        </c:spPr>
        <c:dLbl>
          <c:idx val="0"/>
          <c:layout>
            <c:manualLayout>
              <c:x val="-4.1666666666666664E-2"/>
              <c:y val="-5.0925925925925972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solidFill>
              <a:schemeClr val="accent1"/>
            </a:solidFill>
            <a:ln>
              <a:noFill/>
            </a:ln>
            <a:effectLst>
              <a:outerShdw blurRad="50800" dist="38100" dir="5400000" algn="t" rotWithShape="0">
                <a:prstClr val="black">
                  <a:alpha val="40000"/>
                </a:prstClr>
              </a:outerShdw>
            </a:effectLst>
            <a:sp3d/>
          </c:spPr>
          <c:invertIfNegative val="0"/>
          <c:dPt>
            <c:idx val="0"/>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6-365E-4997-A273-F1F14BB073F0}"/>
              </c:ext>
            </c:extLst>
          </c:dPt>
          <c:dPt>
            <c:idx val="1"/>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5-365E-4997-A273-F1F14BB073F0}"/>
              </c:ext>
            </c:extLst>
          </c:dPt>
          <c:dPt>
            <c:idx val="2"/>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4-365E-4997-A273-F1F14BB073F0}"/>
              </c:ext>
            </c:extLst>
          </c:dPt>
          <c:dPt>
            <c:idx val="3"/>
            <c:invertIfNegative val="0"/>
            <c:bubble3D val="0"/>
            <c:spPr>
              <a:solidFill>
                <a:srgbClr val="2CE02C"/>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3-365E-4997-A273-F1F14BB073F0}"/>
              </c:ext>
            </c:extLst>
          </c:dPt>
          <c:dPt>
            <c:idx val="4"/>
            <c:invertIfNegative val="0"/>
            <c:bubble3D val="0"/>
            <c:spPr>
              <a:solidFill>
                <a:srgbClr val="FF0000"/>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2-365E-4997-A273-F1F14BB073F0}"/>
              </c:ext>
            </c:extLst>
          </c:dPt>
          <c:dLbls>
            <c:dLbl>
              <c:idx val="0"/>
              <c:layout>
                <c:manualLayout>
                  <c:x val="-4.1666666666666664E-2"/>
                  <c:y val="-5.092592592592597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365E-4997-A273-F1F14BB073F0}"/>
                </c:ext>
              </c:extLst>
            </c:dLbl>
            <c:dLbl>
              <c:idx val="1"/>
              <c:layout>
                <c:manualLayout>
                  <c:x val="-3.0555555555555555E-2"/>
                  <c:y val="-0.1296296296296296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65E-4997-A273-F1F14BB073F0}"/>
                </c:ext>
              </c:extLst>
            </c:dLbl>
            <c:dLbl>
              <c:idx val="2"/>
              <c:layout>
                <c:manualLayout>
                  <c:x val="-4.4444444444444446E-2"/>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365E-4997-A273-F1F14BB073F0}"/>
                </c:ext>
              </c:extLst>
            </c:dLbl>
            <c:dLbl>
              <c:idx val="3"/>
              <c:layout>
                <c:manualLayout>
                  <c:x val="-8.0555555555555561E-2"/>
                  <c:y val="-9.2592592592592379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65E-4997-A273-F1F14BB073F0}"/>
                </c:ext>
              </c:extLst>
            </c:dLbl>
            <c:dLbl>
              <c:idx val="4"/>
              <c:layout>
                <c:manualLayout>
                  <c:x val="-4.1666666666666768E-2"/>
                  <c:y val="-8.333333333333332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65E-4997-A273-F1F14BB073F0}"/>
                </c:ext>
              </c:extLst>
            </c:dLbl>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'Column Chart'!$A$4:$A$9</c:f>
              <c:strCache>
                <c:ptCount val="5"/>
                <c:pt idx="0">
                  <c:v>Cello Pen</c:v>
                </c:pt>
                <c:pt idx="1">
                  <c:v>Dettol</c:v>
                </c:pt>
                <c:pt idx="2">
                  <c:v>Lux</c:v>
                </c:pt>
                <c:pt idx="3">
                  <c:v>Pepsodent</c:v>
                </c:pt>
                <c:pt idx="4">
                  <c:v>Print Paper</c:v>
                </c:pt>
              </c:strCache>
            </c:strRef>
          </c:cat>
          <c:val>
            <c:numRef>
              <c:f>'Column Chart'!$B$4:$B$9</c:f>
              <c:numCache>
                <c:formatCode>General</c:formatCode>
                <c:ptCount val="5"/>
                <c:pt idx="0">
                  <c:v>30417.75</c:v>
                </c:pt>
                <c:pt idx="1">
                  <c:v>14699.25</c:v>
                </c:pt>
                <c:pt idx="2">
                  <c:v>22208</c:v>
                </c:pt>
                <c:pt idx="3">
                  <c:v>42126</c:v>
                </c:pt>
                <c:pt idx="4">
                  <c:v>11394</c:v>
                </c:pt>
              </c:numCache>
            </c:numRef>
          </c:val>
          <c:shape val="cylinder"/>
          <c:extLst>
            <c:ext xmlns:c16="http://schemas.microsoft.com/office/drawing/2014/chart" uri="{C3380CC4-5D6E-409C-BE32-E72D297353CC}">
              <c16:uniqueId val="{00000000-365E-4997-A273-F1F14BB073F0}"/>
            </c:ext>
          </c:extLst>
        </c:ser>
        <c:dLbls>
          <c:showLegendKey val="0"/>
          <c:showVal val="0"/>
          <c:showCatName val="0"/>
          <c:showSerName val="0"/>
          <c:showPercent val="0"/>
          <c:showBubbleSize val="0"/>
        </c:dLbls>
        <c:gapWidth val="121"/>
        <c:gapDepth val="0"/>
        <c:shape val="box"/>
        <c:axId val="612908256"/>
        <c:axId val="612888096"/>
        <c:axId val="0"/>
      </c:bar3DChart>
      <c:catAx>
        <c:axId val="612908256"/>
        <c:scaling>
          <c:orientation val="minMax"/>
        </c:scaling>
        <c:delete val="1"/>
        <c:axPos val="b"/>
        <c:numFmt formatCode="General" sourceLinked="1"/>
        <c:majorTickMark val="out"/>
        <c:minorTickMark val="none"/>
        <c:tickLblPos val="nextTo"/>
        <c:crossAx val="612888096"/>
        <c:crosses val="autoZero"/>
        <c:auto val="1"/>
        <c:lblAlgn val="ctr"/>
        <c:lblOffset val="100"/>
        <c:noMultiLvlLbl val="0"/>
      </c:catAx>
      <c:valAx>
        <c:axId val="612888096"/>
        <c:scaling>
          <c:orientation val="minMax"/>
        </c:scaling>
        <c:delete val="1"/>
        <c:axPos val="l"/>
        <c:numFmt formatCode="General" sourceLinked="1"/>
        <c:majorTickMark val="out"/>
        <c:minorTickMark val="none"/>
        <c:tickLblPos val="nextTo"/>
        <c:crossAx val="61290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[charts.xlsx]Line Chart!PivotTable2</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t>Month</a:t>
            </a:r>
            <a:r>
              <a:rPr lang="en-US" b="1" baseline="0"/>
              <a:t> Wise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rgbClr val="FF0000"/>
            </a:solidFill>
            <a:round/>
          </a:ln>
          <a:effectLst/>
        </c:spPr>
        <c:marker>
          <c:symbol val="circle"/>
          <c:size val="10"/>
          <c:spPr>
            <a:solidFill>
              <a:srgbClr val="00B0F0"/>
            </a:solidFill>
            <a:ln w="9525">
              <a:solidFill>
                <a:schemeClr val="accent1"/>
              </a:solidFill>
            </a:ln>
            <a:effectLst/>
          </c:spPr>
        </c:marker>
        <c:dLbl>
          <c:idx val="0"/>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rgbClr val="2CE02C"/>
            </a:solidFill>
            <a:prstDash val="dash"/>
            <a:round/>
          </a:ln>
          <a:effectLst/>
        </c:spPr>
        <c:marker>
          <c:symbol val="triangle"/>
          <c:size val="10"/>
        </c:marker>
        <c:dLbl>
          <c:idx val="0"/>
          <c:layout>
            <c:manualLayout>
              <c:x val="-6.8156199527939318E-2"/>
              <c:y val="-0.1158065695237706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fld id="{07B4F360-D88C-4D17-9C91-D303865F4480}" type="VALUE">
                  <a:rPr lang="en-US" sz="1000" b="1">
                    <a:solidFill>
                      <a:schemeClr val="tx1"/>
                    </a:solidFill>
                  </a:rPr>
                  <a:pPr>
                    <a:defRPr sz="1000"/>
                  </a:pPr>
                  <a:t>[VALUE]</a:t>
                </a:fld>
                <a:r>
                  <a:rPr lang="en-US" sz="1000" b="1" baseline="0">
                    <a:solidFill>
                      <a:schemeClr val="tx1"/>
                    </a:solidFill>
                  </a:rPr>
                  <a:t>, </a:t>
                </a:r>
                <a:fld id="{629AAF7D-4312-40AC-BDC0-37348E27D7AE}" type="VALUE">
                  <a:rPr lang="en-US" sz="1000" b="1" baseline="0">
                    <a:solidFill>
                      <a:schemeClr val="tx1"/>
                    </a:solidFill>
                  </a:rPr>
                  <a:pPr>
                    <a:defRPr sz="1000"/>
                  </a:pPr>
                  <a:t>[VALUE]</a:t>
                </a:fld>
                <a:endParaRPr lang="en-US" sz="1000" b="1" baseline="0">
                  <a:solidFill>
                    <a:schemeClr val="tx1"/>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Lst>
        </c:dLbl>
      </c:pivotFmt>
      <c:pivotFmt>
        <c:idx val="2"/>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3"/>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4"/>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5"/>
        <c:spPr>
          <a:ln w="28575" cap="rnd">
            <a:solidFill>
              <a:srgbClr val="FF0000"/>
            </a:solidFill>
            <a:round/>
          </a:ln>
          <a:effectLst/>
        </c:spPr>
        <c:marker>
          <c:symbol val="circle"/>
          <c:size val="10"/>
          <c:spPr>
            <a:solidFill>
              <a:srgbClr val="00B0F0"/>
            </a:solidFill>
            <a:ln w="9525">
              <a:solidFill>
                <a:schemeClr val="accent1"/>
              </a:solidFill>
            </a:ln>
            <a:effectLst/>
          </c:spPr>
        </c:marker>
        <c:dLbl>
          <c:idx val="0"/>
          <c:layout>
            <c:manualLayout>
              <c:x val="-7.5045988547191494E-2"/>
              <c:y val="-0.12036432954800302"/>
            </c:manualLayout>
          </c:layout>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s>
    <c:plotArea>
      <c:layout>
        <c:manualLayout>
          <c:layoutTarget val="inner"/>
          <c:xMode val="edge"/>
          <c:yMode val="edge"/>
          <c:x val="3.0555555555555555E-2"/>
          <c:y val="0.15319444444444447"/>
          <c:w val="0.93888888888888888"/>
          <c:h val="0.72088764946048411"/>
        </c:manualLayout>
      </c:layout>
      <c:lineChart>
        <c:grouping val="standard"/>
        <c:varyColors val="0"/>
        <c:ser>
          <c:idx val="0"/>
          <c:order val="0"/>
          <c:tx>
            <c:strRef>
              <c:f>'Line Chart'!$B$3</c:f>
              <c:strCache>
                <c:ptCount val="1"/>
                <c:pt idx="0">
                  <c:v>Total</c:v>
                </c:pt>
              </c:strCache>
            </c:strRef>
          </c:tx>
          <c:spPr>
            <a:ln w="28575" cap="rnd">
              <a:solidFill>
                <a:srgbClr val="FF0000"/>
              </a:solidFill>
              <a:round/>
            </a:ln>
            <a:effectLst/>
          </c:spPr>
          <c:marker>
            <c:symbol val="circle"/>
            <c:size val="10"/>
            <c:spPr>
              <a:solidFill>
                <a:srgbClr val="00B0F0"/>
              </a:solidFill>
              <a:ln w="9525">
                <a:solidFill>
                  <a:schemeClr val="accent1"/>
                </a:solidFill>
              </a:ln>
              <a:effectLst/>
            </c:spPr>
          </c:marker>
          <c:dPt>
            <c:idx val="0"/>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7-0048-4549-93EC-0A84D67784F9}"/>
              </c:ext>
            </c:extLst>
          </c:dPt>
          <c:dPt>
            <c:idx val="1"/>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3-0048-4549-93EC-0A84D67784F9}"/>
              </c:ext>
            </c:extLst>
          </c:dPt>
          <c:dPt>
            <c:idx val="2"/>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4-0048-4549-93EC-0A84D67784F9}"/>
              </c:ext>
            </c:extLst>
          </c:dPt>
          <c:dPt>
            <c:idx val="3"/>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5-0048-4549-93EC-0A84D67784F9}"/>
              </c:ext>
            </c:extLst>
          </c:dPt>
          <c:dPt>
            <c:idx val="4"/>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6-0048-4549-93EC-0A84D67784F9}"/>
              </c:ext>
            </c:extLst>
          </c:dPt>
          <c:dPt>
            <c:idx val="5"/>
            <c:marker>
              <c:symbol val="triangle"/>
              <c:size val="10"/>
              <c:spPr>
                <a:solidFill>
                  <a:srgbClr val="00B0F0"/>
                </a:solidFill>
                <a:ln w="9525">
                  <a:solidFill>
                    <a:schemeClr val="accent1"/>
                  </a:solidFill>
                </a:ln>
                <a:effectLst/>
              </c:spPr>
            </c:marker>
            <c:bubble3D val="0"/>
            <c:spPr>
              <a:ln w="28575" cap="rnd">
                <a:solidFill>
                  <a:srgbClr val="2CE02C"/>
                </a:solidFill>
                <a:prstDash val="dash"/>
                <a:round/>
              </a:ln>
              <a:effectLst/>
            </c:spPr>
            <c:extLst>
              <c:ext xmlns:c16="http://schemas.microsoft.com/office/drawing/2014/chart" uri="{C3380CC4-5D6E-409C-BE32-E72D297353CC}">
                <c16:uniqueId val="{00000002-0048-4549-93EC-0A84D67784F9}"/>
              </c:ext>
            </c:extLst>
          </c:dPt>
          <c:dLbls>
            <c:dLbl>
              <c:idx val="4"/>
              <c:layout>
                <c:manualLayout>
                  <c:x val="-7.5045988547191494E-2"/>
                  <c:y val="-0.1203643295480030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048-4549-93EC-0A84D67784F9}"/>
                </c:ext>
              </c:extLst>
            </c:dLbl>
            <c:dLbl>
              <c:idx val="5"/>
              <c:layout>
                <c:manualLayout>
                  <c:x val="-6.8156199527939318E-2"/>
                  <c:y val="-0.1158065695237706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fld id="{07B4F360-D88C-4D17-9C91-D303865F4480}" type="VALUE">
                      <a:rPr lang="en-US" sz="1000" b="1">
                        <a:solidFill>
                          <a:schemeClr val="tx1"/>
                        </a:solidFill>
                      </a:rPr>
                      <a:pPr>
                        <a:defRPr sz="1000"/>
                      </a:pPr>
                      <a:t>[VALUE]</a:t>
                    </a:fld>
                    <a:r>
                      <a:rPr lang="en-US" sz="1000" b="1" baseline="0">
                        <a:solidFill>
                          <a:schemeClr val="tx1"/>
                        </a:solidFill>
                      </a:rPr>
                      <a:t>, </a:t>
                    </a:r>
                    <a:fld id="{629AAF7D-4312-40AC-BDC0-37348E27D7AE}" type="VALUE">
                      <a:rPr lang="en-US" sz="1000" b="1" baseline="0">
                        <a:solidFill>
                          <a:schemeClr val="tx1"/>
                        </a:solidFill>
                      </a:rPr>
                      <a:pPr>
                        <a:defRPr sz="1000"/>
                      </a:pPr>
                      <a:t>[VALUE]</a:t>
                    </a:fld>
                    <a:endParaRPr lang="en-US" sz="1000" b="1" baseline="0">
                      <a:solidFill>
                        <a:schemeClr val="tx1"/>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 xmlns:c16="http://schemas.microsoft.com/office/drawing/2014/chart" uri="{C3380CC4-5D6E-409C-BE32-E72D297353CC}">
                  <c16:uniqueId val="{00000002-0048-4549-93EC-0A84D67784F9}"/>
                </c:ext>
              </c:extLst>
            </c:dLbl>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'Line Chart'!$A$4:$A$10</c:f>
              <c:strCache>
                <c:ptCount val="6"/>
                <c:pt idx="0">
                  <c:v>Jan</c:v>
                </c:pt>
                <c:pt idx="1">
                  <c:v>Feb</c:v>
                </c:pt>
                <c:pt idx="2">
                  <c:v>Mar</c:v>
                </c:pt>
                <c:pt idx="3">
                  <c:v>Apr</c:v>
                </c:pt>
                <c:pt idx="4">
                  <c:v>Jun</c:v>
                </c:pt>
                <c:pt idx="5">
                  <c:v>Jul</c:v>
                </c:pt>
              </c:strCache>
            </c:strRef>
          </c:cat>
          <c:val>
            <c:numRef>
              <c:f>'Line Chart'!$B$4:$B$10</c:f>
              <c:numCache>
                <c:formatCode>General</c:formatCode>
                <c:ptCount val="6"/>
                <c:pt idx="0">
                  <c:v>22800</c:v>
                </c:pt>
                <c:pt idx="1">
                  <c:v>42387.5</c:v>
                </c:pt>
                <c:pt idx="2">
                  <c:v>13937.5</c:v>
                </c:pt>
                <c:pt idx="3">
                  <c:v>13857</c:v>
                </c:pt>
                <c:pt idx="4">
                  <c:v>13560.25</c:v>
                </c:pt>
                <c:pt idx="5">
                  <c:v>14302.75</c:v>
                </c:pt>
              </c:numCache>
            </c:numRef>
          </c:val>
          <c:smooth val="0"/>
          <c:extLst>
            <c:ext xmlns:c16="http://schemas.microsoft.com/office/drawing/2014/chart" uri="{C3380CC4-5D6E-409C-BE32-E72D297353CC}">
              <c16:uniqueId val="{00000000-0048-4549-93EC-0A84D67784F9}"/>
            </c:ext>
          </c:extLst>
        </c:ser>
        <c:dLbls>
          <c:showLegendKey val="0"/>
          <c:showVal val="0"/>
          <c:showCatName val="0"/>
          <c:showSerName val="0"/>
          <c:showPercent val="0"/>
          <c:showBubbleSize val="0"/>
        </c:dLbls>
        <c:marker val="1"/>
        <c:smooth val="0"/>
        <c:axId val="612918336"/>
        <c:axId val="612917856"/>
      </c:lineChart>
      <c:catAx>
        <c:axId val="61291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ysClr val="windowText" lastClr="000000">
                      <a:lumMod val="25000"/>
                      <a:lumOff val="75000"/>
                    </a:sysClr>
                  </a:solidFill>
                </a:ln>
                <a:solidFill>
                  <a:schemeClr val="lt1"/>
                </a:solidFill>
                <a:latin typeface="+mn-lt"/>
                <a:ea typeface="+mn-ea"/>
                <a:cs typeface="+mn-cs"/>
              </a:defRPr>
            </a:pPr>
            <a:endParaRPr lang="en-US"/>
          </a:p>
        </c:txPr>
        <c:crossAx val="612917856"/>
        <c:crosses val="autoZero"/>
        <c:auto val="1"/>
        <c:lblAlgn val="ctr"/>
        <c:lblOffset val="100"/>
        <c:noMultiLvlLbl val="0"/>
      </c:catAx>
      <c:valAx>
        <c:axId val="612917856"/>
        <c:scaling>
          <c:orientation val="minMax"/>
        </c:scaling>
        <c:delete val="1"/>
        <c:axPos val="l"/>
        <c:numFmt formatCode="General" sourceLinked="1"/>
        <c:majorTickMark val="out"/>
        <c:minorTickMark val="none"/>
        <c:tickLblPos val="nextTo"/>
        <c:crossAx val="61291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[charts.xlsx]Combo Chart!PivotTable6</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t>Region</a:t>
            </a:r>
            <a:r>
              <a:rPr lang="en-IN" b="1" baseline="0"/>
              <a:t> Wise Profit and Cost 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rgbClr val="2CE02C"/>
          </a:solidFill>
          <a:ln>
            <a:noFill/>
          </a:ln>
          <a:effectLst/>
        </c:spPr>
        <c:marker>
          <c:symbol val="none"/>
        </c:marker>
        <c:dLbl>
          <c:idx val="0"/>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circle"/>
          <c:size val="10"/>
          <c:spPr>
            <a:solidFill>
              <a:srgbClr val="0070C0"/>
            </a:solidFill>
            <a:ln w="9525">
              <a:solidFill>
                <a:schemeClr val="accent2"/>
              </a:solidFill>
            </a:ln>
            <a:effectLst/>
          </c:spPr>
        </c:marker>
        <c:dLbl>
          <c:idx val="0"/>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1.9032082653616094E-2"/>
              <c:y val="-3.8022813688212927E-2"/>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2CE02C"/>
          </a:solidFill>
          <a:ln>
            <a:noFill/>
          </a:ln>
          <a:effectLst/>
        </c:spPr>
        <c:dLbl>
          <c:idx val="0"/>
          <c:layout>
            <c:manualLayout>
              <c:x val="-0.10875475802066351"/>
              <c:y val="-0.3074112884178451"/>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CE02C"/>
          </a:solidFill>
          <a:ln>
            <a:noFill/>
          </a:ln>
          <a:effectLst/>
        </c:spPr>
        <c:dLbl>
          <c:idx val="0"/>
          <c:layout>
            <c:manualLayout>
              <c:x val="-0.12778684067427951"/>
              <c:y val="5.7636331580225478E-2"/>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CE02C"/>
          </a:solidFill>
          <a:ln>
            <a:noFill/>
          </a:ln>
          <a:effectLst/>
        </c:spPr>
        <c:dLbl>
          <c:idx val="0"/>
          <c:layout>
            <c:manualLayout>
              <c:x val="-3.2626427406199074E-2"/>
              <c:y val="-0.2452980449687136"/>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CE02C"/>
          </a:solidFill>
          <a:ln>
            <a:noFill/>
          </a:ln>
          <a:effectLst/>
        </c:spPr>
        <c:dLbl>
          <c:idx val="0"/>
          <c:layout>
            <c:manualLayout>
              <c:x val="-7.3409461663947795E-2"/>
              <c:y val="-0.28619269549481219"/>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2.9907558455682437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3.2626427406199074E-2"/>
              <c:y val="8.449514152936051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2"/>
            </a:solidFill>
            <a:round/>
          </a:ln>
          <a:effectLst/>
        </c:spPr>
        <c:marker>
          <c:symbol val="circle"/>
          <c:size val="10"/>
          <c:spPr>
            <a:solidFill>
              <a:srgbClr val="0070C0"/>
            </a:solidFill>
            <a:ln w="9525">
              <a:solidFill>
                <a:schemeClr val="accent2"/>
              </a:solidFill>
            </a:ln>
            <a:effectLst/>
          </c:spPr>
        </c:marker>
        <c:dLbl>
          <c:idx val="0"/>
          <c:layout>
            <c:manualLayout>
              <c:x val="2.1750951604132682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'Combo Chart'!$B$3</c:f>
              <c:strCache>
                <c:ptCount val="1"/>
                <c:pt idx="0">
                  <c:v>Sum of Profit</c:v>
                </c:pt>
              </c:strCache>
            </c:strRef>
          </c:tx>
          <c:spPr>
            <a:solidFill>
              <a:srgbClr val="2CE02C"/>
            </a:solidFill>
            <a:ln>
              <a:noFill/>
            </a:ln>
            <a:effectLst/>
          </c:spPr>
          <c:invertIfNegative val="0"/>
          <c:dPt>
            <c:idx val="0"/>
            <c:invertIfNegative val="0"/>
            <c:bubble3D val="0"/>
            <c:spPr>
              <a:solidFill>
                <a:srgbClr val="2CE02C"/>
              </a:solidFill>
              <a:ln>
                <a:noFill/>
              </a:ln>
              <a:effectLst/>
            </c:spPr>
            <c:extLst>
              <c:ext xmlns:c16="http://schemas.microsoft.com/office/drawing/2014/chart" uri="{C3380CC4-5D6E-409C-BE32-E72D297353CC}">
                <c16:uniqueId val="{00000007-5110-4F55-9015-ED75E05EC303}"/>
              </c:ext>
            </c:extLst>
          </c:dPt>
          <c:dPt>
            <c:idx val="1"/>
            <c:invertIfNegative val="0"/>
            <c:bubble3D val="0"/>
            <c:spPr>
              <a:solidFill>
                <a:srgbClr val="2CE02C"/>
              </a:solidFill>
              <a:ln>
                <a:noFill/>
              </a:ln>
              <a:effectLst/>
            </c:spPr>
            <c:extLst>
              <c:ext xmlns:c16="http://schemas.microsoft.com/office/drawing/2014/chart" uri="{C3380CC4-5D6E-409C-BE32-E72D297353CC}">
                <c16:uniqueId val="{00000006-5110-4F55-9015-ED75E05EC303}"/>
              </c:ext>
            </c:extLst>
          </c:dPt>
          <c:dPt>
            <c:idx val="2"/>
            <c:invertIfNegative val="0"/>
            <c:bubble3D val="0"/>
            <c:spPr>
              <a:solidFill>
                <a:srgbClr val="2CE02C"/>
              </a:solidFill>
              <a:ln>
                <a:noFill/>
              </a:ln>
              <a:effectLst/>
            </c:spPr>
            <c:extLst>
              <c:ext xmlns:c16="http://schemas.microsoft.com/office/drawing/2014/chart" uri="{C3380CC4-5D6E-409C-BE32-E72D297353CC}">
                <c16:uniqueId val="{00000004-5110-4F55-9015-ED75E05EC303}"/>
              </c:ext>
            </c:extLst>
          </c:dPt>
          <c:dPt>
            <c:idx val="3"/>
            <c:invertIfNegative val="0"/>
            <c:bubble3D val="0"/>
            <c:spPr>
              <a:solidFill>
                <a:srgbClr val="2CE02C"/>
              </a:solidFill>
              <a:ln>
                <a:noFill/>
              </a:ln>
              <a:effectLst/>
            </c:spPr>
            <c:extLst>
              <c:ext xmlns:c16="http://schemas.microsoft.com/office/drawing/2014/chart" uri="{C3380CC4-5D6E-409C-BE32-E72D297353CC}">
                <c16:uniqueId val="{00000005-5110-4F55-9015-ED75E05EC303}"/>
              </c:ext>
            </c:extLst>
          </c:dPt>
          <c:dLbls>
            <c:dLbl>
              <c:idx val="0"/>
              <c:layout>
                <c:manualLayout>
                  <c:x val="-7.3409461663947795E-2"/>
                  <c:y val="-0.286192695494812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10-4F55-9015-ED75E05EC303}"/>
                </c:ext>
              </c:extLst>
            </c:dLbl>
            <c:dLbl>
              <c:idx val="1"/>
              <c:layout>
                <c:manualLayout>
                  <c:x val="-3.2626427406199074E-2"/>
                  <c:y val="-0.2452980449687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10-4F55-9015-ED75E05EC303}"/>
                </c:ext>
              </c:extLst>
            </c:dLbl>
            <c:dLbl>
              <c:idx val="2"/>
              <c:layout>
                <c:manualLayout>
                  <c:x val="-0.10875475802066351"/>
                  <c:y val="-0.30741128841784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10-4F55-9015-ED75E05EC303}"/>
                </c:ext>
              </c:extLst>
            </c:dLbl>
            <c:dLbl>
              <c:idx val="3"/>
              <c:layout>
                <c:manualLayout>
                  <c:x val="-0.12778684067427951"/>
                  <c:y val="5.76363315802254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10-4F55-9015-ED75E05EC303}"/>
                </c:ext>
              </c:extLst>
            </c:dLbl>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'Combo Chart'!$A$4:$A$8</c:f>
              <c:strCache>
                <c:ptCount val="4"/>
                <c:pt idx="0">
                  <c:v>East</c:v>
                </c:pt>
                <c:pt idx="1">
                  <c:v>North</c:v>
                </c:pt>
                <c:pt idx="2">
                  <c:v>South</c:v>
                </c:pt>
                <c:pt idx="3">
                  <c:v>West</c:v>
                </c:pt>
              </c:strCache>
            </c:strRef>
          </c:cat>
          <c:val>
            <c:numRef>
              <c:f>'Combo Chart'!$B$4:$B$8</c:f>
              <c:numCache>
                <c:formatCode>General</c:formatCode>
                <c:ptCount val="4"/>
                <c:pt idx="0">
                  <c:v>28523.25</c:v>
                </c:pt>
                <c:pt idx="1">
                  <c:v>21916.5</c:v>
                </c:pt>
                <c:pt idx="2">
                  <c:v>36871.75</c:v>
                </c:pt>
                <c:pt idx="3">
                  <c:v>33533.5</c:v>
                </c:pt>
              </c:numCache>
            </c:numRef>
          </c:val>
          <c:extLst>
            <c:ext xmlns:c16="http://schemas.microsoft.com/office/drawing/2014/chart" uri="{C3380CC4-5D6E-409C-BE32-E72D297353CC}">
              <c16:uniqueId val="{00000000-5110-4F55-9015-ED75E05EC303}"/>
            </c:ext>
          </c:extLst>
        </c:ser>
        <c:dLbls>
          <c:showLegendKey val="0"/>
          <c:showVal val="0"/>
          <c:showCatName val="0"/>
          <c:showSerName val="0"/>
          <c:showPercent val="0"/>
          <c:showBubbleSize val="0"/>
        </c:dLbls>
        <c:gapWidth val="225"/>
        <c:overlap val="100"/>
        <c:axId val="452810608"/>
        <c:axId val="452807728"/>
      </c:barChart>
      <c:lineChart>
        <c:grouping val="standard"/>
        <c:varyColors val="0"/>
        <c:ser>
          <c:idx val="1"/>
          <c:order val="1"/>
          <c:tx>
            <c:strRef>
              <c:f>'Combo Chart'!$C$3</c:f>
              <c:strCache>
                <c:ptCount val="1"/>
                <c:pt idx="0">
                  <c:v>Sum of Cost Price</c:v>
                </c:pt>
              </c:strCache>
            </c:strRef>
          </c:tx>
          <c:spPr>
            <a:ln w="28575" cap="rnd">
              <a:solidFill>
                <a:schemeClr val="accent2"/>
              </a:solidFill>
              <a:round/>
            </a:ln>
            <a:effectLst/>
          </c:spPr>
          <c:marker>
            <c:symbol val="circle"/>
            <c:size val="10"/>
            <c:spPr>
              <a:solidFill>
                <a:srgbClr val="0070C0"/>
              </a:solidFill>
              <a:ln w="9525">
                <a:solidFill>
                  <a:schemeClr val="accent2"/>
                </a:solidFill>
              </a:ln>
              <a:effectLst/>
            </c:spPr>
          </c:marker>
          <c:dPt>
            <c:idx val="1"/>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9-5110-4F55-9015-ED75E05EC303}"/>
              </c:ext>
            </c:extLst>
          </c:dPt>
          <c:dPt>
            <c:idx val="2"/>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3-5110-4F55-9015-ED75E05EC303}"/>
              </c:ext>
            </c:extLst>
          </c:dPt>
          <c:dPt>
            <c:idx val="3"/>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8-5110-4F55-9015-ED75E05EC303}"/>
              </c:ext>
            </c:extLst>
          </c:dPt>
          <c:dLbls>
            <c:dLbl>
              <c:idx val="0"/>
              <c:layout>
                <c:manualLayout>
                  <c:x val="2.1750951604132682E-2"/>
                  <c:y val="-4.2247570764681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9AC-470A-98F9-D9D0CCFDEC29}"/>
                </c:ext>
              </c:extLst>
            </c:dLbl>
            <c:dLbl>
              <c:idx val="1"/>
              <c:layout>
                <c:manualLayout>
                  <c:x val="3.2626427406199074E-2"/>
                  <c:y val="8.4495141529360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10-4F55-9015-ED75E05EC303}"/>
                </c:ext>
              </c:extLst>
            </c:dLbl>
            <c:dLbl>
              <c:idx val="2"/>
              <c:layout>
                <c:manualLayout>
                  <c:x val="1.9032082653616094E-2"/>
                  <c:y val="-3.8022813688212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10-4F55-9015-ED75E05EC303}"/>
                </c:ext>
              </c:extLst>
            </c:dLbl>
            <c:dLbl>
              <c:idx val="3"/>
              <c:layout>
                <c:manualLayout>
                  <c:x val="2.9907558455682437E-2"/>
                  <c:y val="4.2247570764681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10-4F55-9015-ED75E05EC303}"/>
                </c:ext>
              </c:extLst>
            </c:dLbl>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'Combo Chart'!$A$4:$A$8</c:f>
              <c:strCache>
                <c:ptCount val="4"/>
                <c:pt idx="0">
                  <c:v>East</c:v>
                </c:pt>
                <c:pt idx="1">
                  <c:v>North</c:v>
                </c:pt>
                <c:pt idx="2">
                  <c:v>South</c:v>
                </c:pt>
                <c:pt idx="3">
                  <c:v>West</c:v>
                </c:pt>
              </c:strCache>
            </c:strRef>
          </c:cat>
          <c:val>
            <c:numRef>
              <c:f>'Combo Chart'!$C$4:$C$8</c:f>
              <c:numCache>
                <c:formatCode>General</c:formatCode>
                <c:ptCount val="4"/>
                <c:pt idx="0">
                  <c:v>4232864</c:v>
                </c:pt>
                <c:pt idx="1">
                  <c:v>1981472</c:v>
                </c:pt>
                <c:pt idx="2">
                  <c:v>6426960</c:v>
                </c:pt>
                <c:pt idx="3">
                  <c:v>3186568</c:v>
                </c:pt>
              </c:numCache>
            </c:numRef>
          </c:val>
          <c:smooth val="0"/>
          <c:extLst>
            <c:ext xmlns:c16="http://schemas.microsoft.com/office/drawing/2014/chart" uri="{C3380CC4-5D6E-409C-BE32-E72D297353CC}">
              <c16:uniqueId val="{00000001-5110-4F55-9015-ED75E05EC303}"/>
            </c:ext>
          </c:extLst>
        </c:ser>
        <c:dLbls>
          <c:showLegendKey val="0"/>
          <c:showVal val="0"/>
          <c:showCatName val="0"/>
          <c:showSerName val="0"/>
          <c:showPercent val="0"/>
          <c:showBubbleSize val="0"/>
        </c:dLbls>
        <c:marker val="1"/>
        <c:smooth val="0"/>
        <c:axId val="453320352"/>
        <c:axId val="453321312"/>
      </c:lineChart>
      <c:catAx>
        <c:axId val="45332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3321312"/>
        <c:crosses val="autoZero"/>
        <c:auto val="1"/>
        <c:lblAlgn val="ctr"/>
        <c:lblOffset val="100"/>
        <c:noMultiLvlLbl val="0"/>
      </c:catAx>
      <c:valAx>
        <c:axId val="453321312"/>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3320352"/>
        <c:crosses val="autoZero"/>
        <c:crossBetween val="between"/>
      </c:valAx>
      <c:valAx>
        <c:axId val="452807728"/>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2810608"/>
        <c:crosses val="max"/>
        <c:crossBetween val="between"/>
      </c:valAx>
      <c:catAx>
        <c:axId val="452810608"/>
        <c:scaling>
          <c:orientation val="minMax"/>
        </c:scaling>
        <c:delete val="1"/>
        <c:axPos val="b"/>
        <c:numFmt formatCode="General" sourceLinked="1"/>
        <c:majorTickMark val="out"/>
        <c:minorTickMark val="none"/>
        <c:tickLblPos val="nextTo"/>
        <c:crossAx val="452807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1905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[charts.xlsx]Pie Chart!PivotTable5</c:name>
    <c:fmtId val="6"/>
  </c:pivotSource>
  <c:chart>
    <c:title>
      <c:tx>
        <c:rich>
          <a:bodyPr rot="0" vert="horz"/>
          <a:lstStyle/>
          <a:p>
            <a:pPr>
              <a:defRPr/>
            </a:pPr>
            <a:r>
              <a:rPr lang="en-US"/>
              <a:t>Sales Value By Profit</a:t>
            </a:r>
          </a:p>
        </c:rich>
      </c:tx>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marker>
          <c:symbol val="none"/>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7"/>
        <c:spPr>
          <a:solidFill>
            <a:srgbClr val="38D2EC"/>
          </a:solidFill>
          <a:ln w="25400">
            <a:solidFill>
              <a:schemeClr val="lt1"/>
            </a:solidFill>
          </a:ln>
          <a:effectLst/>
          <a:sp3d contourW="25400">
            <a:contourClr>
              <a:schemeClr val="lt1"/>
            </a:contourClr>
          </a:sp3d>
        </c:spPr>
        <c:dLbl>
          <c:idx val="0"/>
          <c:layout>
            <c:manualLayout>
              <c:x val="-4.9261083743842374E-2"/>
              <c:y val="-3.2502708559046654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fld id="{ECB3FB1D-5A7F-4504-AEDF-395C433C18FE}" type="CATEGORYNAME">
                  <a:rPr lang="en-US" sz="1000" b="1">
                    <a:solidFill>
                      <a:schemeClr val="tx1"/>
                    </a:solidFill>
                  </a:rPr>
                  <a:pPr>
                    <a:defRPr sz="1000" b="1" i="0" u="none" strike="noStrike" kern="1200" baseline="0">
                      <a:solidFill>
                        <a:schemeClr val="tx1"/>
                      </a:solidFill>
                      <a:latin typeface="+mn-lt"/>
                      <a:ea typeface="+mn-ea"/>
                      <a:cs typeface="+mn-cs"/>
                    </a:defRPr>
                  </a:pPr>
                  <a:t>[CATEGORY NAME]</a:t>
                </a:fld>
                <a:r>
                  <a:rPr lang="en-US" sz="1000" b="1">
                    <a:solidFill>
                      <a:schemeClr val="tx1"/>
                    </a:solidFill>
                  </a:rPr>
                  <a:t>
</a:t>
                </a:r>
                <a:fld id="{B45EC603-1E2D-4798-B294-0E454AA723D4}" type="PERCENTAGE">
                  <a:rPr lang="en-US" sz="1000" b="1">
                    <a:solidFill>
                      <a:schemeClr val="tx1"/>
                    </a:solidFill>
                  </a:rPr>
                  <a:pPr>
                    <a:defRPr sz="1000" b="1" i="0" u="none" strike="noStrike" kern="1200" baseline="0">
                      <a:solidFill>
                        <a:schemeClr val="tx1"/>
                      </a:solidFill>
                      <a:latin typeface="+mn-lt"/>
                      <a:ea typeface="+mn-ea"/>
                      <a:cs typeface="+mn-cs"/>
                    </a:defRPr>
                  </a:pPr>
                  <a:t>[PERCENTAGE]</a:t>
                </a:fld>
                <a:endParaRPr lang="en-US" sz="1000" b="1">
                  <a:solidFill>
                    <a:schemeClr val="tx1"/>
                  </a:solidFill>
                </a:endParaRPr>
              </a:p>
            </c:rich>
          </c:tx>
          <c:spPr>
            <a:solidFill>
              <a:srgbClr val="FFC000">
                <a:lumMod val="60000"/>
                <a:lumOff val="40000"/>
              </a:srgbClr>
            </a:solidFill>
            <a:ln>
              <a:solidFill>
                <a:sysClr val="windowText" lastClr="000000">
                  <a:lumMod val="25000"/>
                  <a:lumOff val="75000"/>
                </a:sysClr>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28"/>
        <c:spPr>
          <a:solidFill>
            <a:srgbClr val="FFD03B"/>
          </a:solidFill>
          <a:ln w="25400">
            <a:solidFill>
              <a:schemeClr val="lt1"/>
            </a:solidFill>
          </a:ln>
          <a:effectLst/>
          <a:sp3d contourW="25400">
            <a:contourClr>
              <a:schemeClr val="lt1"/>
            </a:contourClr>
          </a:sp3d>
        </c:spPr>
        <c:dLbl>
          <c:idx val="0"/>
          <c:layout>
            <c:manualLayout>
              <c:x val="5.9523809523809451E-2"/>
              <c:y val="-6.1394005055976919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rgbClr val="2CE02C"/>
          </a:solidFill>
          <a:ln w="25400">
            <a:solidFill>
              <a:schemeClr val="lt1"/>
            </a:solidFill>
          </a:ln>
          <a:effectLst/>
          <a:sp3d contourW="25400">
            <a:contourClr>
              <a:schemeClr val="lt1"/>
            </a:contourClr>
          </a:sp3d>
        </c:spPr>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0"/>
        <c:spPr>
          <a:solidFill>
            <a:srgbClr val="FF0000"/>
          </a:solidFill>
          <a:ln w="25400">
            <a:solidFill>
              <a:schemeClr val="lt1"/>
            </a:solidFill>
          </a:ln>
          <a:effectLst/>
          <a:sp3d contourW="25400">
            <a:contourClr>
              <a:schemeClr val="lt1"/>
            </a:contourClr>
          </a:sp3d>
        </c:spPr>
        <c:dLbl>
          <c:idx val="0"/>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2"/>
        <c:spPr>
          <a:solidFill>
            <a:srgbClr val="2CE02C"/>
          </a:solidFill>
          <a:ln w="25400">
            <a:solidFill>
              <a:schemeClr val="lt1"/>
            </a:solidFill>
          </a:ln>
          <a:effectLst/>
          <a:sp3d contourW="25400">
            <a:contourClr>
              <a:schemeClr val="lt1"/>
            </a:contourClr>
          </a:sp3d>
        </c:spPr>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3"/>
        <c:spPr>
          <a:solidFill>
            <a:srgbClr val="38D2EC"/>
          </a:solidFill>
          <a:ln w="25400">
            <a:solidFill>
              <a:schemeClr val="lt1"/>
            </a:solidFill>
          </a:ln>
          <a:effectLst/>
          <a:sp3d contourW="25400">
            <a:contourClr>
              <a:schemeClr val="lt1"/>
            </a:contourClr>
          </a:sp3d>
        </c:spPr>
        <c:dLbl>
          <c:idx val="0"/>
          <c:layout>
            <c:manualLayout>
              <c:x val="-4.9261083743842374E-2"/>
              <c:y val="-3.2502708559046654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fld id="{ECB3FB1D-5A7F-4504-AEDF-395C433C18FE}" type="CATEGORYNAME">
                  <a:rPr lang="en-US" sz="1000" b="1">
                    <a:solidFill>
                      <a:schemeClr val="tx1"/>
                    </a:solidFill>
                  </a:rPr>
                  <a:pPr>
                    <a:defRPr sz="1000" b="1" i="0" u="none" strike="noStrike" kern="1200" baseline="0">
                      <a:solidFill>
                        <a:schemeClr val="tx1"/>
                      </a:solidFill>
                      <a:latin typeface="+mn-lt"/>
                      <a:ea typeface="+mn-ea"/>
                      <a:cs typeface="+mn-cs"/>
                    </a:defRPr>
                  </a:pPr>
                  <a:t>[CATEGORY NAME]</a:t>
                </a:fld>
                <a:r>
                  <a:rPr lang="en-US" sz="1000" b="1">
                    <a:solidFill>
                      <a:schemeClr val="tx1"/>
                    </a:solidFill>
                  </a:rPr>
                  <a:t>
</a:t>
                </a:r>
                <a:fld id="{B45EC603-1E2D-4798-B294-0E454AA723D4}" type="PERCENTAGE">
                  <a:rPr lang="en-US" sz="1000" b="1">
                    <a:solidFill>
                      <a:schemeClr val="tx1"/>
                    </a:solidFill>
                  </a:rPr>
                  <a:pPr>
                    <a:defRPr sz="1000" b="1" i="0" u="none" strike="noStrike" kern="1200" baseline="0">
                      <a:solidFill>
                        <a:schemeClr val="tx1"/>
                      </a:solidFill>
                      <a:latin typeface="+mn-lt"/>
                      <a:ea typeface="+mn-ea"/>
                      <a:cs typeface="+mn-cs"/>
                    </a:defRPr>
                  </a:pPr>
                  <a:t>[PERCENTAGE]</a:t>
                </a:fld>
                <a:endParaRPr lang="en-US" sz="1000" b="1">
                  <a:solidFill>
                    <a:schemeClr val="tx1"/>
                  </a:solidFill>
                </a:endParaRPr>
              </a:p>
            </c:rich>
          </c:tx>
          <c:spPr>
            <a:solidFill>
              <a:srgbClr val="FFC000">
                <a:lumMod val="60000"/>
                <a:lumOff val="40000"/>
              </a:srgbClr>
            </a:solidFill>
            <a:ln>
              <a:solidFill>
                <a:sysClr val="windowText" lastClr="000000">
                  <a:lumMod val="25000"/>
                  <a:lumOff val="75000"/>
                </a:sysClr>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4"/>
        <c:spPr>
          <a:solidFill>
            <a:srgbClr val="FFD03B"/>
          </a:solidFill>
          <a:ln w="25400">
            <a:solidFill>
              <a:schemeClr val="lt1"/>
            </a:solidFill>
          </a:ln>
          <a:effectLst/>
          <a:sp3d contourW="25400">
            <a:contourClr>
              <a:schemeClr val="lt1"/>
            </a:contourClr>
          </a:sp3d>
        </c:spPr>
        <c:dLbl>
          <c:idx val="0"/>
          <c:layout>
            <c:manualLayout>
              <c:x val="5.9523809523809451E-2"/>
              <c:y val="-6.1394005055976919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5"/>
        <c:spPr>
          <a:solidFill>
            <a:srgbClr val="FF0000"/>
          </a:solidFill>
          <a:ln w="25400">
            <a:solidFill>
              <a:schemeClr val="lt1"/>
            </a:solidFill>
          </a:ln>
          <a:effectLst/>
          <a:sp3d contourW="25400">
            <a:contourClr>
              <a:schemeClr val="lt1"/>
            </a:contourClr>
          </a:sp3d>
        </c:spPr>
        <c:dLbl>
          <c:idx val="0"/>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7"/>
        <c:spPr>
          <a:solidFill>
            <a:srgbClr val="2CE02C"/>
          </a:solidFill>
          <a:ln w="25400">
            <a:solidFill>
              <a:schemeClr val="lt1"/>
            </a:solidFill>
          </a:ln>
          <a:effectLst/>
          <a:sp3d contourW="25400">
            <a:contourClr>
              <a:schemeClr val="lt1"/>
            </a:contourClr>
          </a:sp3d>
        </c:spPr>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8"/>
        <c:spPr>
          <a:solidFill>
            <a:srgbClr val="38D2EC"/>
          </a:solidFill>
          <a:ln w="25400">
            <a:solidFill>
              <a:schemeClr val="lt1"/>
            </a:solidFill>
          </a:ln>
          <a:effectLst/>
          <a:sp3d contourW="25400">
            <a:contourClr>
              <a:schemeClr val="lt1"/>
            </a:contourClr>
          </a:sp3d>
        </c:spPr>
        <c:dLbl>
          <c:idx val="0"/>
          <c:layout>
            <c:manualLayout>
              <c:x val="-4.9261083743842374E-2"/>
              <c:y val="-3.2502708559046654E-2"/>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fld id="{ECB3FB1D-5A7F-4504-AEDF-395C433C18FE}" type="CATEGORYNAME">
                  <a:rPr lang="en-US" sz="1000" b="1">
                    <a:solidFill>
                      <a:schemeClr val="tx1"/>
                    </a:solidFill>
                  </a:rPr>
                  <a:pPr>
                    <a:defRPr sz="1000" b="1" i="0" u="none" strike="noStrike" kern="1200" baseline="0">
                      <a:solidFill>
                        <a:schemeClr val="tx1"/>
                      </a:solidFill>
                      <a:latin typeface="+mn-lt"/>
                      <a:ea typeface="+mn-ea"/>
                      <a:cs typeface="+mn-cs"/>
                    </a:defRPr>
                  </a:pPr>
                  <a:t>[CATEGORY NAME]</a:t>
                </a:fld>
                <a:r>
                  <a:rPr lang="en-US" sz="1000" b="1">
                    <a:solidFill>
                      <a:schemeClr val="tx1"/>
                    </a:solidFill>
                  </a:rPr>
                  <a:t>
</a:t>
                </a:r>
                <a:fld id="{B45EC603-1E2D-4798-B294-0E454AA723D4}" type="PERCENTAGE">
                  <a:rPr lang="en-US" sz="1000" b="1">
                    <a:solidFill>
                      <a:schemeClr val="tx1"/>
                    </a:solidFill>
                  </a:rPr>
                  <a:pPr>
                    <a:defRPr sz="1000" b="1" i="0" u="none" strike="noStrike" kern="1200" baseline="0">
                      <a:solidFill>
                        <a:schemeClr val="tx1"/>
                      </a:solidFill>
                      <a:latin typeface="+mn-lt"/>
                      <a:ea typeface="+mn-ea"/>
                      <a:cs typeface="+mn-cs"/>
                    </a:defRPr>
                  </a:pPr>
                  <a:t>[PERCENTAGE]</a:t>
                </a:fld>
                <a:endParaRPr lang="en-US" sz="1000" b="1">
                  <a:solidFill>
                    <a:schemeClr val="tx1"/>
                  </a:solidFill>
                </a:endParaRPr>
              </a:p>
            </c:rich>
          </c:tx>
          <c:spPr>
            <a:solidFill>
              <a:srgbClr val="FFC000">
                <a:lumMod val="60000"/>
                <a:lumOff val="40000"/>
              </a:srgbClr>
            </a:solidFill>
            <a:ln>
              <a:solidFill>
                <a:sysClr val="windowText" lastClr="000000">
                  <a:lumMod val="25000"/>
                  <a:lumOff val="75000"/>
                </a:sysClr>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39"/>
        <c:spPr>
          <a:solidFill>
            <a:srgbClr val="FFD03B"/>
          </a:solidFill>
          <a:ln w="25400">
            <a:solidFill>
              <a:schemeClr val="lt1"/>
            </a:solidFill>
          </a:ln>
          <a:effectLst/>
          <a:sp3d contourW="25400">
            <a:contourClr>
              <a:schemeClr val="lt1"/>
            </a:contourClr>
          </a:sp3d>
        </c:spPr>
        <c:dLbl>
          <c:idx val="0"/>
          <c:layout>
            <c:manualLayout>
              <c:x val="5.9523809523809451E-2"/>
              <c:y val="-6.1394005055976919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0"/>
        <c:spPr>
          <a:solidFill>
            <a:srgbClr val="FF0000"/>
          </a:solidFill>
          <a:ln w="25400">
            <a:solidFill>
              <a:schemeClr val="lt1"/>
            </a:solidFill>
          </a:ln>
          <a:effectLst/>
          <a:sp3d contourW="25400">
            <a:contourClr>
              <a:schemeClr val="lt1"/>
            </a:contourClr>
          </a:sp3d>
        </c:spPr>
        <c:dLbl>
          <c:idx val="0"/>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1"/>
        <c:marker>
          <c:symbol val="none"/>
        </c:marker>
        <c:dLbl>
          <c:idx val="0"/>
          <c:spPr>
            <a:solidFill>
              <a:sysClr val="window" lastClr="FFFFFF"/>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2"/>
        <c:spPr>
          <a:solidFill>
            <a:srgbClr val="2CE02C"/>
          </a:solidFill>
          <a:ln w="25400">
            <a:solidFill>
              <a:schemeClr val="lt1"/>
            </a:solidFill>
          </a:ln>
          <a:effectLst/>
          <a:sp3d contourW="25400">
            <a:contourClr>
              <a:schemeClr val="lt1"/>
            </a:contourClr>
          </a:sp3d>
        </c:spPr>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3"/>
        <c:spPr>
          <a:solidFill>
            <a:srgbClr val="38D2EC"/>
          </a:solidFill>
          <a:ln w="25400">
            <a:solidFill>
              <a:schemeClr val="lt1"/>
            </a:solidFill>
          </a:ln>
          <a:effectLst/>
          <a:sp3d contourW="25400">
            <a:contourClr>
              <a:schemeClr val="lt1"/>
            </a:contourClr>
          </a:sp3d>
        </c:spPr>
        <c:dLbl>
          <c:idx val="0"/>
          <c:layout>
            <c:manualLayout>
              <c:x val="-4.9261083743842374E-2"/>
              <c:y val="-3.2502708559046654E-2"/>
            </c:manualLayout>
          </c:layout>
          <c:tx>
            <c:rich>
              <a:bodyPr rot="0" vert="horz"/>
              <a:lstStyle/>
              <a:p>
                <a:pPr>
                  <a:defRPr b="1">
                    <a:solidFill>
                      <a:sysClr val="windowText" lastClr="000000"/>
                    </a:solidFill>
                  </a:defRPr>
                </a:pPr>
                <a:fld id="{ECB3FB1D-5A7F-4504-AEDF-395C433C18FE}" type="CATEGORYNAME">
                  <a:rPr lang="en-US" b="1">
                    <a:solidFill>
                      <a:sysClr val="windowText" lastClr="000000"/>
                    </a:solidFill>
                  </a:rPr>
                  <a:pPr>
                    <a:defRPr b="1">
                      <a:solidFill>
                        <a:sysClr val="windowText" lastClr="000000"/>
                      </a:solidFill>
                    </a:defRPr>
                  </a:pPr>
                  <a:t>[CATEGORY NAME]</a:t>
                </a:fld>
                <a:r>
                  <a:rPr lang="en-US" b="1">
                    <a:solidFill>
                      <a:sysClr val="windowText" lastClr="000000"/>
                    </a:solidFill>
                  </a:rPr>
                  <a:t>
</a:t>
                </a:r>
                <a:fld id="{B45EC603-1E2D-4798-B294-0E454AA723D4}" type="PERCENTAGE">
                  <a:rPr lang="en-US" b="1">
                    <a:solidFill>
                      <a:sysClr val="windowText" lastClr="000000"/>
                    </a:solidFill>
                  </a:rPr>
                  <a:pPr>
                    <a:defRPr b="1">
                      <a:solidFill>
                        <a:sysClr val="windowText" lastClr="000000"/>
                      </a:solidFill>
                    </a:defRPr>
                  </a:pPr>
                  <a:t>[PERCENTAGE]</a:t>
                </a:fld>
                <a:endParaRPr lang="en-US" b="1">
                  <a:solidFill>
                    <a:sysClr val="windowText" lastClr="000000"/>
                  </a:solidFill>
                </a:endParaRPr>
              </a:p>
            </c:rich>
          </c:tx>
          <c:spPr>
            <a:solidFill>
              <a:srgbClr val="FFC000">
                <a:lumMod val="60000"/>
                <a:lumOff val="40000"/>
              </a:srgbClr>
            </a:solidFill>
            <a:ln>
              <a:solidFill>
                <a:sysClr val="windowText" lastClr="000000">
                  <a:lumMod val="25000"/>
                  <a:lumOff val="75000"/>
                </a:sysClr>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44"/>
        <c:spPr>
          <a:solidFill>
            <a:srgbClr val="FFD03B"/>
          </a:solidFill>
          <a:ln w="25400">
            <a:solidFill>
              <a:schemeClr val="lt1"/>
            </a:solidFill>
          </a:ln>
          <a:effectLst/>
          <a:sp3d contourW="25400">
            <a:contourClr>
              <a:schemeClr val="lt1"/>
            </a:contourClr>
          </a:sp3d>
        </c:spPr>
        <c:dLbl>
          <c:idx val="0"/>
          <c:layout>
            <c:manualLayout>
              <c:x val="0.12511703031754293"/>
              <c:y val="2.0405616475854628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5"/>
        <c:spPr>
          <a:solidFill>
            <a:srgbClr val="FF0000"/>
          </a:solidFill>
          <a:ln w="25400">
            <a:solidFill>
              <a:schemeClr val="lt1"/>
            </a:solidFill>
          </a:ln>
          <a:effectLst/>
          <a:sp3d contourW="25400">
            <a:contourClr>
              <a:schemeClr val="lt1"/>
            </a:contourClr>
          </a:sp3d>
        </c:spPr>
        <c:dLbl>
          <c:idx val="0"/>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view3D>
      <c:rotX val="30"/>
      <c:rotY val="105"/>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967450189415983E-2"/>
          <c:y val="0.20861535049180607"/>
          <c:w val="0.68461851751289704"/>
          <c:h val="0.71310516033816462"/>
        </c:manualLayout>
      </c:layout>
      <c:pie3DChart>
        <c:varyColors val="1"/>
        <c:ser>
          <c:idx val="0"/>
          <c:order val="0"/>
          <c:tx>
            <c:strRef>
              <c:f>'Pie Chart'!$B$3</c:f>
              <c:strCache>
                <c:ptCount val="1"/>
                <c:pt idx="0">
                  <c:v>Total</c:v>
                </c:pt>
              </c:strCache>
            </c:strRef>
          </c:tx>
          <c:dPt>
            <c:idx val="0"/>
            <c:bubble3D val="0"/>
            <c:spPr>
              <a:solidFill>
                <a:srgbClr val="2CE02C"/>
              </a:solidFill>
              <a:ln w="25400">
                <a:solidFill>
                  <a:schemeClr val="lt1"/>
                </a:solidFill>
              </a:ln>
              <a:effectLst/>
              <a:sp3d contourW="25400">
                <a:contourClr>
                  <a:schemeClr val="lt1"/>
                </a:contourClr>
              </a:sp3d>
            </c:spPr>
            <c:extLst>
              <c:ext xmlns:c16="http://schemas.microsoft.com/office/drawing/2014/chart" uri="{C3380CC4-5D6E-409C-BE32-E72D297353CC}">
                <c16:uniqueId val="{0000000A-0EA4-4BC7-A51A-A3B89CF1E8E1}"/>
              </c:ext>
            </c:extLst>
          </c:dPt>
          <c:dPt>
            <c:idx val="1"/>
            <c:bubble3D val="0"/>
            <c:spPr>
              <a:solidFill>
                <a:srgbClr val="38D2EC"/>
              </a:solidFill>
              <a:ln w="25400">
                <a:solidFill>
                  <a:schemeClr val="lt1"/>
                </a:solidFill>
              </a:ln>
              <a:effectLst/>
              <a:sp3d contourW="25400">
                <a:contourClr>
                  <a:schemeClr val="lt1"/>
                </a:contourClr>
              </a:sp3d>
            </c:spPr>
            <c:extLst>
              <c:ext xmlns:c16="http://schemas.microsoft.com/office/drawing/2014/chart" uri="{C3380CC4-5D6E-409C-BE32-E72D297353CC}">
                <c16:uniqueId val="{0000000C-0EA4-4BC7-A51A-A3B89CF1E8E1}"/>
              </c:ext>
            </c:extLst>
          </c:dPt>
          <c:dPt>
            <c:idx val="2"/>
            <c:bubble3D val="0"/>
            <c:spPr>
              <a:solidFill>
                <a:srgbClr val="FFD03B"/>
              </a:solidFill>
              <a:ln w="25400">
                <a:solidFill>
                  <a:schemeClr val="lt1"/>
                </a:solidFill>
              </a:ln>
              <a:effectLst/>
              <a:sp3d contourW="25400">
                <a:contourClr>
                  <a:schemeClr val="lt1"/>
                </a:contourClr>
              </a:sp3d>
            </c:spPr>
            <c:extLst>
              <c:ext xmlns:c16="http://schemas.microsoft.com/office/drawing/2014/chart" uri="{C3380CC4-5D6E-409C-BE32-E72D297353CC}">
                <c16:uniqueId val="{0000000E-0EA4-4BC7-A51A-A3B89CF1E8E1}"/>
              </c:ext>
            </c:extLst>
          </c:dPt>
          <c:dPt>
            <c:idx val="3"/>
            <c:bubble3D val="0"/>
            <c:explosion val="6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10-0EA4-4BC7-A51A-A3B89CF1E8E1}"/>
              </c:ext>
            </c:extLst>
          </c:dPt>
          <c:dLbls>
            <c:dLbl>
              <c:idx val="0"/>
              <c:layout>
                <c:manualLayout>
                  <c:x val="2.052545155993432E-3"/>
                  <c:y val="5.4171180931744313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A-0EA4-4BC7-A51A-A3B89CF1E8E1}"/>
                </c:ext>
              </c:extLst>
            </c:dLbl>
            <c:dLbl>
              <c:idx val="1"/>
              <c:layout>
                <c:manualLayout>
                  <c:x val="-4.9261083743842374E-2"/>
                  <c:y val="-3.2502708559046654E-2"/>
                </c:manualLayout>
              </c:layout>
              <c:tx>
                <c:rich>
                  <a:bodyPr rot="0" vert="horz"/>
                  <a:lstStyle/>
                  <a:p>
                    <a:pPr>
                      <a:defRPr b="1">
                        <a:solidFill>
                          <a:sysClr val="windowText" lastClr="000000"/>
                        </a:solidFill>
                      </a:defRPr>
                    </a:pPr>
                    <a:fld id="{ECB3FB1D-5A7F-4504-AEDF-395C433C18FE}" type="CATEGORYNAME">
                      <a:rPr lang="en-US" b="1">
                        <a:solidFill>
                          <a:sysClr val="windowText" lastClr="000000"/>
                        </a:solidFill>
                      </a:rPr>
                      <a:pPr>
                        <a:defRPr b="1">
                          <a:solidFill>
                            <a:sysClr val="windowText" lastClr="000000"/>
                          </a:solidFill>
                        </a:defRPr>
                      </a:pPr>
                      <a:t>[CATEGORY NAME]</a:t>
                    </a:fld>
                    <a:r>
                      <a:rPr lang="en-US" b="1">
                        <a:solidFill>
                          <a:sysClr val="windowText" lastClr="000000"/>
                        </a:solidFill>
                      </a:rPr>
                      <a:t>
</a:t>
                    </a:r>
                    <a:fld id="{B45EC603-1E2D-4798-B294-0E454AA723D4}" type="PERCENTAGE">
                      <a:rPr lang="en-US" b="1">
                        <a:solidFill>
                          <a:sysClr val="windowText" lastClr="000000"/>
                        </a:solidFill>
                      </a:rPr>
                      <a:pPr>
                        <a:defRPr b="1">
                          <a:solidFill>
                            <a:sysClr val="windowText" lastClr="000000"/>
                          </a:solidFill>
                        </a:defRPr>
                      </a:pPr>
                      <a:t>[PERCENTAGE]</a:t>
                    </a:fld>
                    <a:endParaRPr lang="en-US" b="1">
                      <a:solidFill>
                        <a:sysClr val="windowText" lastClr="000000"/>
                      </a:solidFill>
                    </a:endParaRPr>
                  </a:p>
                </c:rich>
              </c:tx>
              <c:spPr>
                <a:solidFill>
                  <a:srgbClr val="FFC000">
                    <a:lumMod val="60000"/>
                    <a:lumOff val="40000"/>
                  </a:srgbClr>
                </a:solidFill>
                <a:ln>
                  <a:solidFill>
                    <a:sysClr val="windowText" lastClr="000000">
                      <a:lumMod val="25000"/>
                      <a:lumOff val="75000"/>
                    </a:sysClr>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 xmlns:c16="http://schemas.microsoft.com/office/drawing/2014/chart" uri="{C3380CC4-5D6E-409C-BE32-E72D297353CC}">
                  <c16:uniqueId val="{0000000C-0EA4-4BC7-A51A-A3B89CF1E8E1}"/>
                </c:ext>
              </c:extLst>
            </c:dLbl>
            <c:dLbl>
              <c:idx val="2"/>
              <c:layout>
                <c:manualLayout>
                  <c:x val="0.12511703031754293"/>
                  <c:y val="2.0405616475854628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E-0EA4-4BC7-A51A-A3B89CF1E8E1}"/>
                </c:ext>
              </c:extLst>
            </c:dLbl>
            <c:dLbl>
              <c:idx val="3"/>
              <c:layout>
                <c:manualLayout>
                  <c:x val="3.6945812807881624E-2"/>
                  <c:y val="-1.0834236186348928E-2"/>
                </c:manualLayout>
              </c:layout>
              <c:spPr>
                <a:solidFill>
                  <a:srgbClr val="FFC000">
                    <a:lumMod val="60000"/>
                    <a:lumOff val="40000"/>
                  </a:srgbClr>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10-0EA4-4BC7-A51A-A3B89CF1E8E1}"/>
                </c:ext>
              </c:extLst>
            </c:dLbl>
            <c:spPr>
              <a:solidFill>
                <a:sysClr val="window" lastClr="FFFFFF"/>
              </a:solidFill>
              <a:ln>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'Pie Chart'!$A$4:$A$8</c:f>
              <c:strCache>
                <c:ptCount val="4"/>
                <c:pt idx="0">
                  <c:v>1-50000</c:v>
                </c:pt>
                <c:pt idx="1">
                  <c:v>50001-100000</c:v>
                </c:pt>
                <c:pt idx="2">
                  <c:v>100001-150000</c:v>
                </c:pt>
                <c:pt idx="3">
                  <c:v>150001-200000</c:v>
                </c:pt>
              </c:strCache>
            </c:strRef>
          </c:cat>
          <c:val>
            <c:numRef>
              <c:f>'Pie Chart'!$B$4:$B$8</c:f>
              <c:numCache>
                <c:formatCode>General</c:formatCode>
                <c:ptCount val="4"/>
                <c:pt idx="0">
                  <c:v>46544.5</c:v>
                </c:pt>
                <c:pt idx="1">
                  <c:v>26256.5</c:v>
                </c:pt>
                <c:pt idx="2">
                  <c:v>41604</c:v>
                </c:pt>
                <c:pt idx="3">
                  <c:v>6440</c:v>
                </c:pt>
              </c:numCache>
            </c:numRef>
          </c:val>
          <c:extLst>
            <c:ext xmlns:c16="http://schemas.microsoft.com/office/drawing/2014/chart" uri="{C3380CC4-5D6E-409C-BE32-E72D297353CC}">
              <c16:uniqueId val="{00000011-0EA4-4BC7-A51A-A3B89CF1E8E1}"/>
            </c:ext>
          </c:extLst>
        </c:ser>
        <c:dLbls>
          <c:showLegendKey val="0"/>
          <c:showVal val="0"/>
          <c:showCatName val="0"/>
          <c:showSerName val="0"/>
          <c:showPercent val="0"/>
          <c:showBubbleSize val="0"/>
          <c:showLeaderLines val="0"/>
        </c:dLbls>
      </c:pie3DChart>
    </c:plotArea>
    <c:plotVisOnly val="1"/>
    <c:dispBlanksAs val="gap"/>
    <c:showDLblsOverMax val="0"/>
    <c:extLst/>
  </c:chart>
  <c:spPr>
    <a:solidFill>
      <a:schemeClr val="dk1"/>
    </a:solidFill>
    <a:ln w="381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[charts.xlsx]Column Chart!PivotTable1</c:name>
    <c:fmtId val="3"/>
  </c:pivotSource>
  <c:chart>
    <c:title>
      <c:tx>
        <c:rich>
          <a:bodyPr rot="0" vert="horz"/>
          <a:lstStyle/>
          <a:p>
            <a:pPr>
              <a:defRPr/>
            </a:pPr>
            <a:r>
              <a:rPr lang="en-US"/>
              <a:t>Product Wise Profit</a:t>
            </a:r>
          </a:p>
        </c:rich>
      </c:tx>
      <c:overlay val="0"/>
      <c:spPr>
        <a:noFill/>
        <a:ln>
          <a:noFill/>
        </a:ln>
        <a:effectLst/>
      </c:spPr>
    </c:title>
    <c:autoTitleDeleted val="0"/>
    <c:pivotFmts>
      <c:pivotFmt>
        <c:idx val="0"/>
        <c:spPr>
          <a:solidFill>
            <a:schemeClr val="accent1"/>
          </a:solidFill>
          <a:ln>
            <a:noFill/>
          </a:ln>
          <a:effectLst>
            <a:outerShdw blurRad="50800" dist="38100" dir="5400000" algn="t" rotWithShape="0">
              <a:prstClr val="black">
                <a:alpha val="40000"/>
              </a:prstClr>
            </a:outerShdw>
          </a:effectLst>
          <a:sp3d/>
        </c:spPr>
        <c:marker>
          <c:symbol val="none"/>
        </c:marker>
        <c:dLbl>
          <c:idx val="0"/>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rgbClr val="FF0000"/>
          </a:solidFill>
          <a:ln>
            <a:noFill/>
          </a:ln>
          <a:effectLst>
            <a:outerShdw blurRad="50800" dist="38100" dir="5400000" algn="t" rotWithShape="0">
              <a:prstClr val="black">
                <a:alpha val="40000"/>
              </a:prstClr>
            </a:outerShdw>
          </a:effectLst>
          <a:sp3d/>
        </c:spPr>
        <c:dLbl>
          <c:idx val="0"/>
          <c:layout>
            <c:manualLayout>
              <c:x val="-4.1666666666666768E-2"/>
              <c:y val="-8.3333333333333329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rgbClr val="2CE02C"/>
          </a:solidFill>
          <a:ln>
            <a:noFill/>
          </a:ln>
          <a:effectLst>
            <a:outerShdw blurRad="50800" dist="38100" dir="5400000" algn="t" rotWithShape="0">
              <a:prstClr val="black">
                <a:alpha val="40000"/>
              </a:prstClr>
            </a:outerShdw>
          </a:effectLst>
          <a:sp3d/>
        </c:spPr>
        <c:dLbl>
          <c:idx val="0"/>
          <c:layout>
            <c:manualLayout>
              <c:x val="-8.0555555555555561E-2"/>
              <c:y val="-9.2592592592592379E-3"/>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a:noFill/>
          </a:ln>
          <a:effectLst>
            <a:outerShdw blurRad="50800" dist="38100" dir="5400000" algn="t" rotWithShape="0">
              <a:prstClr val="black">
                <a:alpha val="40000"/>
              </a:prstClr>
            </a:outerShdw>
          </a:effectLst>
          <a:sp3d/>
        </c:spPr>
        <c:dLbl>
          <c:idx val="0"/>
          <c:layout>
            <c:manualLayout>
              <c:x val="-4.4444444444444446E-2"/>
              <c:y val="-0.11574074074074074"/>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a:noFill/>
          </a:ln>
          <a:effectLst>
            <a:outerShdw blurRad="50800" dist="38100" dir="5400000" algn="t" rotWithShape="0">
              <a:prstClr val="black">
                <a:alpha val="40000"/>
              </a:prstClr>
            </a:outerShdw>
          </a:effectLst>
          <a:sp3d/>
        </c:spPr>
        <c:dLbl>
          <c:idx val="0"/>
          <c:layout>
            <c:manualLayout>
              <c:x val="-3.0555555555555555E-2"/>
              <c:y val="-0.1296296296296296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a:noFill/>
          </a:ln>
          <a:effectLst>
            <a:outerShdw blurRad="50800" dist="38100" dir="5400000" algn="t" rotWithShape="0">
              <a:prstClr val="black">
                <a:alpha val="40000"/>
              </a:prstClr>
            </a:outerShdw>
          </a:effectLst>
          <a:sp3d/>
        </c:spPr>
        <c:dLbl>
          <c:idx val="0"/>
          <c:layout>
            <c:manualLayout>
              <c:x val="-4.1666666666666664E-2"/>
              <c:y val="-5.0925925925925972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a:noFill/>
          </a:ln>
          <a:effectLst>
            <a:outerShdw blurRad="50800" dist="38100" dir="5400000" algn="t" rotWithShape="0">
              <a:prstClr val="black">
                <a:alpha val="40000"/>
              </a:prstClr>
            </a:outerShdw>
          </a:effectLst>
          <a:sp3d/>
        </c:spPr>
        <c:marker>
          <c:symbol val="none"/>
        </c:marker>
        <c:dLbl>
          <c:idx val="0"/>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1"/>
          </a:solidFill>
          <a:ln>
            <a:noFill/>
          </a:ln>
          <a:effectLst>
            <a:outerShdw blurRad="50800" dist="38100" dir="5400000" algn="t" rotWithShape="0">
              <a:prstClr val="black">
                <a:alpha val="40000"/>
              </a:prstClr>
            </a:outerShdw>
          </a:effectLst>
          <a:sp3d/>
        </c:spPr>
        <c:dLbl>
          <c:idx val="0"/>
          <c:layout>
            <c:manualLayout>
              <c:x val="-4.1666666666666664E-2"/>
              <c:y val="-5.0925925925925972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chemeClr val="accent1"/>
          </a:solidFill>
          <a:ln>
            <a:noFill/>
          </a:ln>
          <a:effectLst>
            <a:outerShdw blurRad="50800" dist="38100" dir="5400000" algn="t" rotWithShape="0">
              <a:prstClr val="black">
                <a:alpha val="40000"/>
              </a:prstClr>
            </a:outerShdw>
          </a:effectLst>
          <a:sp3d/>
        </c:spPr>
        <c:dLbl>
          <c:idx val="0"/>
          <c:layout>
            <c:manualLayout>
              <c:x val="-3.0555555555555555E-2"/>
              <c:y val="-0.1296296296296296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a:noFill/>
          </a:ln>
          <a:effectLst>
            <a:outerShdw blurRad="50800" dist="38100" dir="5400000" algn="t" rotWithShape="0">
              <a:prstClr val="black">
                <a:alpha val="40000"/>
              </a:prstClr>
            </a:outerShdw>
          </a:effectLst>
          <a:sp3d/>
        </c:spPr>
        <c:dLbl>
          <c:idx val="0"/>
          <c:layout>
            <c:manualLayout>
              <c:x val="-4.4444444444444446E-2"/>
              <c:y val="-0.11574074074074074"/>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rgbClr val="2CE02C"/>
          </a:solidFill>
          <a:ln>
            <a:noFill/>
          </a:ln>
          <a:effectLst>
            <a:outerShdw blurRad="50800" dist="38100" dir="5400000" algn="t" rotWithShape="0">
              <a:prstClr val="black">
                <a:alpha val="40000"/>
              </a:prstClr>
            </a:outerShdw>
          </a:effectLst>
          <a:sp3d/>
        </c:spPr>
        <c:dLbl>
          <c:idx val="0"/>
          <c:layout>
            <c:manualLayout>
              <c:x val="-8.0555555555555561E-2"/>
              <c:y val="-9.2592592592592379E-3"/>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rgbClr val="FF0000"/>
          </a:solidFill>
          <a:ln>
            <a:noFill/>
          </a:ln>
          <a:effectLst>
            <a:outerShdw blurRad="50800" dist="38100" dir="5400000" algn="t" rotWithShape="0">
              <a:prstClr val="black">
                <a:alpha val="40000"/>
              </a:prstClr>
            </a:outerShdw>
          </a:effectLst>
          <a:sp3d/>
        </c:spPr>
        <c:dLbl>
          <c:idx val="0"/>
          <c:layout>
            <c:manualLayout>
              <c:x val="-4.1666666666666768E-2"/>
              <c:y val="-8.3333333333333329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a:noFill/>
          </a:ln>
          <a:effectLst>
            <a:outerShdw blurRad="50800" dist="38100" dir="5400000" algn="t" rotWithShape="0">
              <a:prstClr val="black">
                <a:alpha val="40000"/>
              </a:prstClr>
            </a:outerShdw>
          </a:effectLst>
          <a:sp3d/>
        </c:spPr>
        <c:marker>
          <c:symbol val="none"/>
        </c:marker>
        <c:dLbl>
          <c:idx val="0"/>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olidFill>
          <a:ln>
            <a:noFill/>
          </a:ln>
          <a:effectLst>
            <a:outerShdw blurRad="50800" dist="38100" dir="5400000" algn="t" rotWithShape="0">
              <a:prstClr val="black">
                <a:alpha val="40000"/>
              </a:prstClr>
            </a:outerShdw>
          </a:effectLst>
          <a:sp3d/>
        </c:spPr>
        <c:dLbl>
          <c:idx val="0"/>
          <c:layout>
            <c:manualLayout>
              <c:x val="-4.1666666666666664E-2"/>
              <c:y val="-5.0925925925925972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a:noFill/>
          </a:ln>
          <a:effectLst>
            <a:outerShdw blurRad="50800" dist="38100" dir="5400000" algn="t" rotWithShape="0">
              <a:prstClr val="black">
                <a:alpha val="40000"/>
              </a:prstClr>
            </a:outerShdw>
          </a:effectLst>
          <a:sp3d/>
        </c:spPr>
        <c:dLbl>
          <c:idx val="0"/>
          <c:layout>
            <c:manualLayout>
              <c:x val="-3.0555555555555555E-2"/>
              <c:y val="-0.1296296296296296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a:noFill/>
          </a:ln>
          <a:effectLst>
            <a:outerShdw blurRad="50800" dist="38100" dir="5400000" algn="t" rotWithShape="0">
              <a:prstClr val="black">
                <a:alpha val="40000"/>
              </a:prstClr>
            </a:outerShdw>
          </a:effectLst>
          <a:sp3d/>
        </c:spPr>
        <c:dLbl>
          <c:idx val="0"/>
          <c:layout>
            <c:manualLayout>
              <c:x val="-4.4444444444444446E-2"/>
              <c:y val="-0.11574074074074074"/>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rgbClr val="2CE02C"/>
          </a:solidFill>
          <a:ln>
            <a:noFill/>
          </a:ln>
          <a:effectLst>
            <a:outerShdw blurRad="50800" dist="38100" dir="5400000" algn="t" rotWithShape="0">
              <a:prstClr val="black">
                <a:alpha val="40000"/>
              </a:prstClr>
            </a:outerShdw>
          </a:effectLst>
          <a:sp3d/>
        </c:spPr>
        <c:dLbl>
          <c:idx val="0"/>
          <c:layout>
            <c:manualLayout>
              <c:x val="-8.0555555555555561E-2"/>
              <c:y val="-9.2592592592592379E-3"/>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FF0000"/>
          </a:solidFill>
          <a:ln>
            <a:noFill/>
          </a:ln>
          <a:effectLst>
            <a:outerShdw blurRad="50800" dist="38100" dir="5400000" algn="t" rotWithShape="0">
              <a:prstClr val="black">
                <a:alpha val="40000"/>
              </a:prstClr>
            </a:outerShdw>
          </a:effectLst>
          <a:sp3d/>
        </c:spPr>
        <c:dLbl>
          <c:idx val="0"/>
          <c:layout>
            <c:manualLayout>
              <c:x val="-4.1666666666666768E-2"/>
              <c:y val="-8.3333333333333329E-2"/>
            </c:manualLayout>
          </c:layout>
          <c:numFmt formatCode="0.0,&quot;K&quot;" sourceLinked="0"/>
          <c:spPr>
            <a:solidFill>
              <a:srgbClr val="FFD03B"/>
            </a:solidFill>
            <a:ln w="12700">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a:noFill/>
          </a:ln>
          <a:effectLst>
            <a:outerShdw blurRad="50800" dist="38100" dir="5400000" algn="t" rotWithShape="0">
              <a:prstClr val="black">
                <a:alpha val="40000"/>
              </a:prstClr>
            </a:outerShdw>
          </a:effectLst>
          <a:sp3d/>
        </c:spPr>
        <c:marker>
          <c:symbol val="none"/>
        </c:marker>
        <c:dLbl>
          <c:idx val="0"/>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1"/>
          </a:solidFill>
          <a:ln>
            <a:noFill/>
          </a:ln>
          <a:effectLst>
            <a:outerShdw blurRad="50800" dist="38100" dir="5400000" algn="t" rotWithShape="0">
              <a:prstClr val="black">
                <a:alpha val="40000"/>
              </a:prstClr>
            </a:outerShdw>
          </a:effectLst>
          <a:sp3d/>
        </c:spPr>
        <c:dLbl>
          <c:idx val="0"/>
          <c:layout>
            <c:manualLayout>
              <c:x val="-4.1666666666666664E-2"/>
              <c:y val="-5.0925925925925972E-2"/>
            </c:manualLayout>
          </c:layout>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accent1"/>
          </a:solidFill>
          <a:ln>
            <a:noFill/>
          </a:ln>
          <a:effectLst>
            <a:outerShdw blurRad="50800" dist="38100" dir="5400000" algn="t" rotWithShape="0">
              <a:prstClr val="black">
                <a:alpha val="40000"/>
              </a:prstClr>
            </a:outerShdw>
          </a:effectLst>
          <a:sp3d/>
        </c:spPr>
        <c:dLbl>
          <c:idx val="0"/>
          <c:layout>
            <c:manualLayout>
              <c:x val="-3.0555555555555555E-2"/>
              <c:y val="-0.12962962962962962"/>
            </c:manualLayout>
          </c:layout>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solidFill>
          <a:ln>
            <a:noFill/>
          </a:ln>
          <a:effectLst>
            <a:outerShdw blurRad="50800" dist="38100" dir="5400000" algn="t" rotWithShape="0">
              <a:prstClr val="black">
                <a:alpha val="40000"/>
              </a:prstClr>
            </a:outerShdw>
          </a:effectLst>
          <a:sp3d/>
        </c:spPr>
        <c:dLbl>
          <c:idx val="0"/>
          <c:layout>
            <c:manualLayout>
              <c:x val="-4.4444444444444446E-2"/>
              <c:y val="-0.11574074074074074"/>
            </c:manualLayout>
          </c:layout>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rgbClr val="2CE02C"/>
          </a:solidFill>
          <a:ln>
            <a:noFill/>
          </a:ln>
          <a:effectLst>
            <a:outerShdw blurRad="50800" dist="38100" dir="5400000" algn="t" rotWithShape="0">
              <a:prstClr val="black">
                <a:alpha val="40000"/>
              </a:prstClr>
            </a:outerShdw>
          </a:effectLst>
          <a:sp3d/>
        </c:spPr>
        <c:dLbl>
          <c:idx val="0"/>
          <c:layout>
            <c:manualLayout>
              <c:x val="-8.0555555555555561E-2"/>
              <c:y val="-9.2592592592592379E-3"/>
            </c:manualLayout>
          </c:layout>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rgbClr val="FF0000"/>
          </a:solidFill>
          <a:ln>
            <a:noFill/>
          </a:ln>
          <a:effectLst>
            <a:outerShdw blurRad="50800" dist="38100" dir="5400000" algn="t" rotWithShape="0">
              <a:prstClr val="black">
                <a:alpha val="40000"/>
              </a:prstClr>
            </a:outerShdw>
          </a:effectLst>
          <a:sp3d/>
        </c:spPr>
        <c:dLbl>
          <c:idx val="0"/>
          <c:layout>
            <c:manualLayout>
              <c:x val="-4.1666666666666768E-2"/>
              <c:y val="-8.3333333333333329E-2"/>
            </c:manualLayout>
          </c:layout>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solidFill>
              <a:schemeClr val="accent1"/>
            </a:solidFill>
            <a:ln>
              <a:noFill/>
            </a:ln>
            <a:effectLst>
              <a:outerShdw blurRad="50800" dist="38100" dir="5400000" algn="t" rotWithShape="0">
                <a:prstClr val="black">
                  <a:alpha val="40000"/>
                </a:prstClr>
              </a:outerShdw>
            </a:effectLst>
            <a:sp3d/>
          </c:spPr>
          <c:invertIfNegative val="0"/>
          <c:dPt>
            <c:idx val="0"/>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9-1A92-4238-8DB6-829D499F9632}"/>
              </c:ext>
            </c:extLst>
          </c:dPt>
          <c:dPt>
            <c:idx val="1"/>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B-1A92-4238-8DB6-829D499F9632}"/>
              </c:ext>
            </c:extLst>
          </c:dPt>
          <c:dPt>
            <c:idx val="2"/>
            <c:invertIfNegative val="0"/>
            <c:bubble3D val="0"/>
            <c:spPr>
              <a:solidFill>
                <a:schemeClr val="accent1"/>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D-1A92-4238-8DB6-829D499F9632}"/>
              </c:ext>
            </c:extLst>
          </c:dPt>
          <c:dPt>
            <c:idx val="3"/>
            <c:invertIfNegative val="0"/>
            <c:bubble3D val="0"/>
            <c:spPr>
              <a:solidFill>
                <a:srgbClr val="2CE02C"/>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0F-1A92-4238-8DB6-829D499F9632}"/>
              </c:ext>
            </c:extLst>
          </c:dPt>
          <c:dPt>
            <c:idx val="4"/>
            <c:invertIfNegative val="0"/>
            <c:bubble3D val="0"/>
            <c:spPr>
              <a:solidFill>
                <a:srgbClr val="FF0000"/>
              </a:solidFill>
              <a:ln>
                <a:noFill/>
              </a:ln>
              <a:effectLst>
                <a:outerShdw blurRad="50800" dist="38100" dir="5400000" algn="t" rotWithShape="0">
                  <a:prstClr val="black">
                    <a:alpha val="40000"/>
                  </a:prstClr>
                </a:outerShdw>
              </a:effectLst>
              <a:sp3d/>
            </c:spPr>
            <c:extLst>
              <c:ext xmlns:c16="http://schemas.microsoft.com/office/drawing/2014/chart" uri="{C3380CC4-5D6E-409C-BE32-E72D297353CC}">
                <c16:uniqueId val="{00000011-1A92-4238-8DB6-829D499F9632}"/>
              </c:ext>
            </c:extLst>
          </c:dPt>
          <c:dLbls>
            <c:dLbl>
              <c:idx val="0"/>
              <c:layout>
                <c:manualLayout>
                  <c:x val="-4.1666666666666664E-2"/>
                  <c:y val="-5.0925925925925972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1A92-4238-8DB6-829D499F9632}"/>
                </c:ext>
              </c:extLst>
            </c:dLbl>
            <c:dLbl>
              <c:idx val="1"/>
              <c:layout>
                <c:manualLayout>
                  <c:x val="-3.0555555555555555E-2"/>
                  <c:y val="-0.1296296296296296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1A92-4238-8DB6-829D499F9632}"/>
                </c:ext>
              </c:extLst>
            </c:dLbl>
            <c:dLbl>
              <c:idx val="2"/>
              <c:layout>
                <c:manualLayout>
                  <c:x val="-4.4444444444444446E-2"/>
                  <c:y val="-0.11574074074074074"/>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1A92-4238-8DB6-829D499F9632}"/>
                </c:ext>
              </c:extLst>
            </c:dLbl>
            <c:dLbl>
              <c:idx val="3"/>
              <c:layout>
                <c:manualLayout>
                  <c:x val="-8.0555555555555561E-2"/>
                  <c:y val="-9.2592592592592379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F-1A92-4238-8DB6-829D499F9632}"/>
                </c:ext>
              </c:extLst>
            </c:dLbl>
            <c:dLbl>
              <c:idx val="4"/>
              <c:layout>
                <c:manualLayout>
                  <c:x val="-4.1666666666666768E-2"/>
                  <c:y val="-8.3333333333333329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1A92-4238-8DB6-829D499F9632}"/>
                </c:ext>
              </c:extLst>
            </c:dLbl>
            <c:numFmt formatCode="0.0,&quot;K&quot;" sourceLinked="0"/>
            <c:spPr>
              <a:solidFill>
                <a:srgbClr val="FFD03B"/>
              </a:solidFill>
              <a:ln w="12700">
                <a:solidFill>
                  <a:sysClr val="windowText" lastClr="000000">
                    <a:lumMod val="25000"/>
                    <a:lumOff val="75000"/>
                  </a:sysClr>
                </a:solidFill>
              </a:ln>
              <a:effectLst/>
            </c:spPr>
            <c:txPr>
              <a:bodyPr rot="0" vert="horz"/>
              <a:lstStyle/>
              <a:p>
                <a:pPr>
                  <a:defRPr b="1">
                    <a:solidFill>
                      <a:sysClr val="windowText" lastClr="000000"/>
                    </a:solidFill>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cat>
            <c:strRef>
              <c:f>'Column Chart'!$A$4:$A$9</c:f>
              <c:strCache>
                <c:ptCount val="5"/>
                <c:pt idx="0">
                  <c:v>Cello Pen</c:v>
                </c:pt>
                <c:pt idx="1">
                  <c:v>Dettol</c:v>
                </c:pt>
                <c:pt idx="2">
                  <c:v>Lux</c:v>
                </c:pt>
                <c:pt idx="3">
                  <c:v>Pepsodent</c:v>
                </c:pt>
                <c:pt idx="4">
                  <c:v>Print Paper</c:v>
                </c:pt>
              </c:strCache>
            </c:strRef>
          </c:cat>
          <c:val>
            <c:numRef>
              <c:f>'Column Chart'!$B$4:$B$9</c:f>
              <c:numCache>
                <c:formatCode>General</c:formatCode>
                <c:ptCount val="5"/>
                <c:pt idx="0">
                  <c:v>30417.75</c:v>
                </c:pt>
                <c:pt idx="1">
                  <c:v>14699.25</c:v>
                </c:pt>
                <c:pt idx="2">
                  <c:v>22208</c:v>
                </c:pt>
                <c:pt idx="3">
                  <c:v>42126</c:v>
                </c:pt>
                <c:pt idx="4">
                  <c:v>11394</c:v>
                </c:pt>
              </c:numCache>
            </c:numRef>
          </c:val>
          <c:shape val="cylinder"/>
          <c:extLst>
            <c:ext xmlns:c16="http://schemas.microsoft.com/office/drawing/2014/chart" uri="{C3380CC4-5D6E-409C-BE32-E72D297353CC}">
              <c16:uniqueId val="{00000012-1A92-4238-8DB6-829D499F9632}"/>
            </c:ext>
          </c:extLst>
        </c:ser>
        <c:dLbls>
          <c:showLegendKey val="0"/>
          <c:showVal val="0"/>
          <c:showCatName val="0"/>
          <c:showSerName val="0"/>
          <c:showPercent val="0"/>
          <c:showBubbleSize val="0"/>
        </c:dLbls>
        <c:gapWidth val="121"/>
        <c:gapDepth val="0"/>
        <c:shape val="box"/>
        <c:axId val="612908256"/>
        <c:axId val="612888096"/>
        <c:axId val="0"/>
      </c:bar3DChart>
      <c:catAx>
        <c:axId val="612908256"/>
        <c:scaling>
          <c:orientation val="minMax"/>
        </c:scaling>
        <c:delete val="1"/>
        <c:axPos val="b"/>
        <c:numFmt formatCode="General" sourceLinked="1"/>
        <c:majorTickMark val="out"/>
        <c:minorTickMark val="none"/>
        <c:tickLblPos val="nextTo"/>
        <c:crossAx val="612888096"/>
        <c:crosses val="autoZero"/>
        <c:auto val="1"/>
        <c:lblAlgn val="ctr"/>
        <c:lblOffset val="100"/>
        <c:noMultiLvlLbl val="0"/>
      </c:catAx>
      <c:valAx>
        <c:axId val="612888096"/>
        <c:scaling>
          <c:orientation val="minMax"/>
        </c:scaling>
        <c:delete val="1"/>
        <c:axPos val="l"/>
        <c:numFmt formatCode="General" sourceLinked="1"/>
        <c:majorTickMark val="out"/>
        <c:minorTickMark val="none"/>
        <c:tickLblPos val="nextTo"/>
        <c:crossAx val="612908256"/>
        <c:crosses val="autoZero"/>
        <c:crossBetween val="between"/>
      </c:valAx>
    </c:plotArea>
    <c:plotVisOnly val="1"/>
    <c:dispBlanksAs val="gap"/>
    <c:showDLblsOverMax val="0"/>
    <c:extLst/>
  </c:chart>
  <c:spPr>
    <a:solidFill>
      <a:schemeClr val="dk1"/>
    </a:solidFill>
    <a:ln w="381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[charts.xlsx]Donut Chart!PivotTable6</c:name>
    <c:fmtId val="4"/>
  </c:pivotSource>
  <c:chart>
    <c:title>
      <c:tx>
        <c:rich>
          <a:bodyPr rot="0" vert="horz"/>
          <a:lstStyle/>
          <a:p>
            <a:pPr>
              <a:defRPr/>
            </a:pPr>
            <a:r>
              <a:rPr lang="en-US"/>
              <a:t>Region Wise Unit Sold</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rgbClr val="FF0000"/>
          </a:solidFill>
          <a:ln w="19050">
            <a:solidFill>
              <a:schemeClr val="lt1"/>
            </a:solidFill>
          </a:ln>
          <a:effectLst/>
        </c:spPr>
        <c:dLbl>
          <c:idx val="0"/>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rgbClr val="00B050"/>
          </a:solidFill>
          <a:ln w="19050">
            <a:solidFill>
              <a:schemeClr val="lt1"/>
            </a:solidFill>
          </a:ln>
          <a:effectLst/>
        </c:spPr>
        <c:dLbl>
          <c:idx val="0"/>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4"/>
        <c:spPr>
          <a:solidFill>
            <a:schemeClr val="accent1"/>
          </a:solidFill>
          <a:ln w="19050">
            <a:solidFill>
              <a:schemeClr val="lt1"/>
            </a:solidFill>
          </a:ln>
          <a:effectLst/>
        </c:spPr>
        <c:dLbl>
          <c:idx val="0"/>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olidFill>
          <a:ln w="19050">
            <a:solidFill>
              <a:schemeClr val="lt1"/>
            </a:solidFill>
          </a:ln>
          <a:effectLst/>
        </c:spPr>
        <c:marker>
          <c:symbol val="none"/>
        </c:marker>
        <c:dLbl>
          <c:idx val="0"/>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rgbClr val="FF0000"/>
          </a:solidFill>
          <a:ln w="19050">
            <a:solidFill>
              <a:schemeClr val="lt1"/>
            </a:solidFill>
          </a:ln>
          <a:effectLst/>
        </c:spPr>
        <c:dLbl>
          <c:idx val="0"/>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spPr>
          <a:solidFill>
            <a:srgbClr val="00B050"/>
          </a:solidFill>
          <a:ln w="19050">
            <a:solidFill>
              <a:schemeClr val="lt1"/>
            </a:solidFill>
          </a:ln>
          <a:effectLst/>
        </c:spPr>
        <c:dLbl>
          <c:idx val="0"/>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marker>
          <c:symbol val="none"/>
        </c:marker>
        <c:dLbl>
          <c:idx val="0"/>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rgbClr val="FF0000"/>
          </a:solidFill>
          <a:ln w="19050">
            <a:solidFill>
              <a:schemeClr val="lt1"/>
            </a:solidFill>
          </a:ln>
          <a:effectLst/>
        </c:spPr>
        <c:dLbl>
          <c:idx val="0"/>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rgbClr val="00B050"/>
          </a:solidFill>
          <a:ln w="19050">
            <a:solidFill>
              <a:schemeClr val="lt1"/>
            </a:solidFill>
          </a:ln>
          <a:effectLst/>
        </c:spPr>
        <c:dLbl>
          <c:idx val="0"/>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chemeClr val="accent1"/>
          </a:solidFill>
          <a:ln w="19050">
            <a:solidFill>
              <a:schemeClr val="lt1"/>
            </a:solidFill>
          </a:ln>
          <a:effectLst/>
        </c:spPr>
        <c:dLbl>
          <c:idx val="0"/>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marker>
          <c:symbol val="none"/>
        </c:marker>
        <c:dLbl>
          <c:idx val="0"/>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w="19050">
            <a:solidFill>
              <a:schemeClr val="lt1"/>
            </a:solidFill>
          </a:ln>
          <a:effectLst/>
        </c:spPr>
        <c:dLbl>
          <c:idx val="0"/>
          <c:layout>
            <c:manualLayout>
              <c:x val="7.7777777777777779E-2"/>
              <c:y val="-0.15740740740740741"/>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rgbClr val="FF0000"/>
          </a:solidFill>
          <a:ln w="19050">
            <a:solidFill>
              <a:schemeClr val="lt1"/>
            </a:solidFill>
          </a:ln>
          <a:effectLst/>
        </c:spPr>
        <c:dLbl>
          <c:idx val="0"/>
          <c:layout>
            <c:manualLayout>
              <c:x val="0.11666666666666667"/>
              <c:y val="5.5555555555555469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rgbClr val="00B050"/>
          </a:solidFill>
          <a:ln w="19050">
            <a:solidFill>
              <a:schemeClr val="lt1"/>
            </a:solidFill>
          </a:ln>
          <a:effectLst/>
        </c:spPr>
        <c:dLbl>
          <c:idx val="0"/>
          <c:layout>
            <c:manualLayout>
              <c:x val="-0.12222222222222225"/>
              <c:y val="3.2407407407407406E-2"/>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4"/>
          </a:solidFill>
          <a:ln w="19050">
            <a:solidFill>
              <a:schemeClr val="lt1"/>
            </a:solidFill>
          </a:ln>
          <a:effectLst/>
        </c:spPr>
        <c:dLbl>
          <c:idx val="0"/>
          <c:layout>
            <c:manualLayout>
              <c:x val="-0.10277777777777777"/>
              <c:y val="-0.1064814814814815"/>
            </c:manualLayout>
          </c:layout>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'Donut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B4C3-4356-81B0-7E0297531428}"/>
              </c:ext>
            </c:extLst>
          </c:dPt>
          <c:dPt>
            <c:idx val="1"/>
            <c:bubble3D val="0"/>
            <c:explosion val="45"/>
            <c:spPr>
              <a:solidFill>
                <a:srgbClr val="FF0000"/>
              </a:solidFill>
              <a:ln w="19050">
                <a:solidFill>
                  <a:schemeClr val="lt1"/>
                </a:solidFill>
              </a:ln>
              <a:effectLst/>
            </c:spPr>
            <c:extLst>
              <c:ext xmlns:c16="http://schemas.microsoft.com/office/drawing/2014/chart" uri="{C3380CC4-5D6E-409C-BE32-E72D297353CC}">
                <c16:uniqueId val="{0000000C-B4C3-4356-81B0-7E0297531428}"/>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E-B4C3-4356-81B0-7E02975314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B4C3-4356-81B0-7E0297531428}"/>
              </c:ext>
            </c:extLst>
          </c:dPt>
          <c:dLbls>
            <c:dLbl>
              <c:idx val="0"/>
              <c:layout>
                <c:manualLayout>
                  <c:x val="7.7777777777777779E-2"/>
                  <c:y val="-0.1574074074074074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B4C3-4356-81B0-7E0297531428}"/>
                </c:ext>
              </c:extLst>
            </c:dLbl>
            <c:dLbl>
              <c:idx val="1"/>
              <c:layout>
                <c:manualLayout>
                  <c:x val="0.11666666666666667"/>
                  <c:y val="5.555555555555546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B4C3-4356-81B0-7E0297531428}"/>
                </c:ext>
              </c:extLst>
            </c:dLbl>
            <c:dLbl>
              <c:idx val="2"/>
              <c:layout>
                <c:manualLayout>
                  <c:x val="-0.12222222222222225"/>
                  <c:y val="3.24074074074074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B4C3-4356-81B0-7E0297531428}"/>
                </c:ext>
              </c:extLst>
            </c:dLbl>
            <c:dLbl>
              <c:idx val="3"/>
              <c:layout>
                <c:manualLayout>
                  <c:x val="-0.10277777777777777"/>
                  <c:y val="-0.10648148148148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B4C3-4356-81B0-7E0297531428}"/>
                </c:ext>
              </c:extLst>
            </c:dLbl>
            <c:spPr>
              <a:gradFill rotWithShape="1">
                <a:gsLst>
                  <a:gs pos="0">
                    <a:srgbClr val="FFC000">
                      <a:satMod val="103000"/>
                      <a:lumMod val="102000"/>
                      <a:tint val="94000"/>
                    </a:srgbClr>
                  </a:gs>
                  <a:gs pos="50000">
                    <a:srgbClr val="FFC000">
                      <a:satMod val="110000"/>
                      <a:lumMod val="100000"/>
                      <a:shade val="100000"/>
                    </a:srgbClr>
                  </a:gs>
                  <a:gs pos="100000">
                    <a:srgbClr val="FFC000">
                      <a:lumMod val="99000"/>
                      <a:satMod val="120000"/>
                      <a:shade val="78000"/>
                    </a:srgbClr>
                  </a:gs>
                </a:gsLst>
                <a:lin ang="5400000" scaled="0"/>
              </a:gradFill>
              <a:ln>
                <a:noFill/>
              </a:ln>
              <a:effectLst>
                <a:outerShdw blurRad="57150" dist="19050" dir="5400000" algn="ctr" rotWithShape="0">
                  <a:srgbClr val="000000">
                    <a:alpha val="63000"/>
                  </a:srgbClr>
                </a:outerShdw>
              </a:effectLst>
            </c:spPr>
            <c:txPr>
              <a:bodyPr rot="0" vert="horz"/>
              <a:lstStyle/>
              <a:p>
                <a:pPr>
                  <a:defRPr b="1">
                    <a:solidFill>
                      <a:sysClr val="windowText" lastClr="000000"/>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'Donut Chart'!$A$4:$A$8</c:f>
              <c:strCache>
                <c:ptCount val="4"/>
                <c:pt idx="0">
                  <c:v>East</c:v>
                </c:pt>
                <c:pt idx="1">
                  <c:v>North</c:v>
                </c:pt>
                <c:pt idx="2">
                  <c:v>South</c:v>
                </c:pt>
                <c:pt idx="3">
                  <c:v>West</c:v>
                </c:pt>
              </c:strCache>
            </c:strRef>
          </c:cat>
          <c:val>
            <c:numRef>
              <c:f>'Donut Chart'!$B$4:$B$8</c:f>
              <c:numCache>
                <c:formatCode>General</c:formatCode>
                <c:ptCount val="4"/>
                <c:pt idx="0">
                  <c:v>8032</c:v>
                </c:pt>
                <c:pt idx="1">
                  <c:v>6518</c:v>
                </c:pt>
                <c:pt idx="2">
                  <c:v>14640</c:v>
                </c:pt>
                <c:pt idx="3">
                  <c:v>8129</c:v>
                </c:pt>
              </c:numCache>
            </c:numRef>
          </c:val>
          <c:extLst>
            <c:ext xmlns:c16="http://schemas.microsoft.com/office/drawing/2014/chart" uri="{C3380CC4-5D6E-409C-BE32-E72D297353CC}">
              <c16:uniqueId val="{00000011-B4C3-4356-81B0-7E0297531428}"/>
            </c:ext>
          </c:extLst>
        </c:ser>
        <c:dLbls>
          <c:showLegendKey val="0"/>
          <c:showVal val="0"/>
          <c:showCatName val="0"/>
          <c:showSerName val="0"/>
          <c:showPercent val="0"/>
          <c:showBubbleSize val="0"/>
          <c:showLeaderLines val="0"/>
        </c:dLbls>
        <c:firstSliceAng val="0"/>
        <c:holeSize val="69"/>
      </c:doughnutChart>
    </c:plotArea>
    <c:plotVisOnly val="1"/>
    <c:dispBlanksAs val="gap"/>
    <c:showDLblsOverMax val="0"/>
    <c:extLst/>
  </c:chart>
  <c:spPr>
    <a:solidFill>
      <a:schemeClr val="dk1"/>
    </a:solidFill>
    <a:ln w="381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[charts.xlsx]Line Chart!PivotTable2</c:name>
    <c:fmtId val="1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800" b="1"/>
              <a:t>Month Wise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dLbl>
          <c:idx val="0"/>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rgbClr val="2CE02C"/>
            </a:solidFill>
            <a:prstDash val="dash"/>
            <a:round/>
          </a:ln>
          <a:effectLst/>
        </c:spPr>
        <c:marker>
          <c:symbol val="triangle"/>
          <c:size val="10"/>
        </c:marker>
        <c:dLbl>
          <c:idx val="0"/>
          <c:layout>
            <c:manualLayout>
              <c:x val="-6.8156199527939318E-2"/>
              <c:y val="-0.1158065695237706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fld id="{07B4F360-D88C-4D17-9C91-D303865F4480}" type="VALUE">
                  <a:rPr lang="en-US" sz="1000" b="1">
                    <a:solidFill>
                      <a:schemeClr val="tx1"/>
                    </a:solidFill>
                  </a:rPr>
                  <a:pPr>
                    <a:defRPr sz="1000" b="0" i="0" u="none" strike="noStrike" kern="1200" baseline="0">
                      <a:solidFill>
                        <a:schemeClr val="lt1"/>
                      </a:solidFill>
                      <a:latin typeface="+mn-lt"/>
                      <a:ea typeface="+mn-ea"/>
                      <a:cs typeface="+mn-cs"/>
                    </a:defRPr>
                  </a:pPr>
                  <a:t>[VALUE]</a:t>
                </a:fld>
                <a:r>
                  <a:rPr lang="en-US" sz="1000" b="1" baseline="0">
                    <a:solidFill>
                      <a:schemeClr val="tx1"/>
                    </a:solidFill>
                  </a:rPr>
                  <a:t>, </a:t>
                </a:r>
                <a:fld id="{629AAF7D-4312-40AC-BDC0-37348E27D7AE}" type="VALUE">
                  <a:rPr lang="en-US" sz="1000" b="1" baseline="0">
                    <a:solidFill>
                      <a:schemeClr val="tx1"/>
                    </a:solidFill>
                  </a:rPr>
                  <a:pPr>
                    <a:defRPr sz="1000" b="0" i="0" u="none" strike="noStrike" kern="1200" baseline="0">
                      <a:solidFill>
                        <a:schemeClr val="lt1"/>
                      </a:solidFill>
                      <a:latin typeface="+mn-lt"/>
                      <a:ea typeface="+mn-ea"/>
                      <a:cs typeface="+mn-cs"/>
                    </a:defRPr>
                  </a:pPr>
                  <a:t>[VALUE]</a:t>
                </a:fld>
                <a:endParaRPr lang="en-US" sz="1000" b="1" baseline="0">
                  <a:solidFill>
                    <a:schemeClr val="tx1"/>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Lst>
        </c:dLbl>
      </c:pivotFmt>
      <c:pivotFmt>
        <c:idx val="2"/>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3"/>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4"/>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5"/>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dLbl>
          <c:idx val="0"/>
          <c:layout>
            <c:manualLayout>
              <c:x val="-7.5045988547191494E-2"/>
              <c:y val="-0.12036432954800302"/>
            </c:manualLayout>
          </c:layout>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7"/>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dLbl>
          <c:idx val="0"/>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9"/>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0"/>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1"/>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2"/>
        <c:spPr>
          <a:solidFill>
            <a:schemeClr val="accent1"/>
          </a:solidFill>
          <a:ln w="28575" cap="rnd">
            <a:solidFill>
              <a:srgbClr val="FF0000"/>
            </a:solidFill>
            <a:round/>
          </a:ln>
          <a:effectLst/>
        </c:spPr>
        <c:marker>
          <c:symbol val="circle"/>
          <c:size val="10"/>
          <c:spPr>
            <a:solidFill>
              <a:srgbClr val="00B0F0"/>
            </a:solidFill>
            <a:ln w="9525">
              <a:solidFill>
                <a:schemeClr val="accent1"/>
              </a:solidFill>
            </a:ln>
            <a:effectLst/>
          </c:spPr>
        </c:marker>
        <c:dLbl>
          <c:idx val="0"/>
          <c:layout>
            <c:manualLayout>
              <c:x val="-7.5045988547191494E-2"/>
              <c:y val="-0.12036432954800302"/>
            </c:manualLayout>
          </c:layout>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8575" cap="rnd">
            <a:solidFill>
              <a:srgbClr val="2CE02C"/>
            </a:solidFill>
            <a:prstDash val="dash"/>
            <a:round/>
          </a:ln>
          <a:effectLst/>
        </c:spPr>
        <c:marker>
          <c:symbol val="triangle"/>
          <c:size val="10"/>
          <c:spPr>
            <a:solidFill>
              <a:srgbClr val="00B0F0"/>
            </a:solidFill>
            <a:ln w="9525">
              <a:solidFill>
                <a:schemeClr val="accent1"/>
              </a:solidFill>
            </a:ln>
            <a:effectLst/>
          </c:spPr>
        </c:marker>
        <c:dLbl>
          <c:idx val="0"/>
          <c:layout>
            <c:manualLayout>
              <c:x val="-6.8156199527939318E-2"/>
              <c:y val="-0.11580656952377069"/>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fld id="{07B4F360-D88C-4D17-9C91-D303865F4480}" type="VALUE">
                  <a:rPr lang="en-US" sz="1000" b="1">
                    <a:solidFill>
                      <a:schemeClr val="tx1"/>
                    </a:solidFill>
                  </a:rPr>
                  <a:pPr>
                    <a:defRPr sz="1000" b="0" i="0" u="none" strike="noStrike" kern="1200" baseline="0">
                      <a:solidFill>
                        <a:schemeClr val="lt1"/>
                      </a:solidFill>
                      <a:latin typeface="+mn-lt"/>
                      <a:ea typeface="+mn-ea"/>
                      <a:cs typeface="+mn-cs"/>
                    </a:defRPr>
                  </a:pPr>
                  <a:t>[VALUE]</a:t>
                </a:fld>
                <a:r>
                  <a:rPr lang="en-US" sz="1000" b="1" baseline="0">
                    <a:solidFill>
                      <a:schemeClr val="tx1"/>
                    </a:solidFill>
                  </a:rPr>
                  <a:t>, </a:t>
                </a:r>
                <a:fld id="{629AAF7D-4312-40AC-BDC0-37348E27D7AE}" type="VALUE">
                  <a:rPr lang="en-US" sz="1000" b="1" baseline="0">
                    <a:solidFill>
                      <a:schemeClr val="tx1"/>
                    </a:solidFill>
                  </a:rPr>
                  <a:pPr>
                    <a:defRPr sz="1000" b="0" i="0" u="none" strike="noStrike" kern="1200" baseline="0">
                      <a:solidFill>
                        <a:schemeClr val="lt1"/>
                      </a:solidFill>
                      <a:latin typeface="+mn-lt"/>
                      <a:ea typeface="+mn-ea"/>
                      <a:cs typeface="+mn-cs"/>
                    </a:defRPr>
                  </a:pPr>
                  <a:t>[VALUE]</a:t>
                </a:fld>
                <a:endParaRPr lang="en-US" sz="1000" b="1" baseline="0">
                  <a:solidFill>
                    <a:schemeClr val="tx1"/>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Lst>
        </c:dLbl>
      </c:pivotFmt>
      <c:pivotFmt>
        <c:idx val="14"/>
        <c:spPr>
          <a:ln w="28575" cap="rnd">
            <a:solidFill>
              <a:srgbClr val="FF0000"/>
            </a:solidFill>
            <a:round/>
          </a:ln>
          <a:effectLst/>
        </c:spPr>
        <c:marker>
          <c:symbol val="circle"/>
          <c:size val="10"/>
          <c:spPr>
            <a:solidFill>
              <a:srgbClr val="00B0F0"/>
            </a:solidFill>
            <a:ln w="9525">
              <a:solidFill>
                <a:schemeClr val="accent1"/>
              </a:solidFill>
            </a:ln>
            <a:effectLst/>
          </c:spPr>
        </c:marker>
        <c:dLbl>
          <c:idx val="0"/>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6"/>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7"/>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8"/>
        <c:spPr>
          <a:ln w="28575" cap="rnd">
            <a:solidFill>
              <a:srgbClr val="FF0000"/>
            </a:solidFill>
            <a:round/>
          </a:ln>
          <a:effectLst/>
        </c:spPr>
        <c:marker>
          <c:symbol val="circle"/>
          <c:size val="10"/>
          <c:spPr>
            <a:solidFill>
              <a:srgbClr val="00B0F0"/>
            </a:solidFill>
            <a:ln w="9525">
              <a:solidFill>
                <a:schemeClr val="accent1"/>
              </a:solidFill>
            </a:ln>
            <a:effectLst/>
          </c:spPr>
        </c:marker>
      </c:pivotFmt>
      <c:pivotFmt>
        <c:idx val="19"/>
        <c:spPr>
          <a:ln w="28575" cap="rnd">
            <a:solidFill>
              <a:srgbClr val="FF0000"/>
            </a:solidFill>
            <a:round/>
          </a:ln>
          <a:effectLst/>
        </c:spPr>
        <c:marker>
          <c:symbol val="circle"/>
          <c:size val="10"/>
          <c:spPr>
            <a:solidFill>
              <a:srgbClr val="00B0F0"/>
            </a:solidFill>
            <a:ln w="9525">
              <a:solidFill>
                <a:schemeClr val="accent1"/>
              </a:solidFill>
            </a:ln>
            <a:effectLst/>
          </c:spPr>
        </c:marker>
        <c:dLbl>
          <c:idx val="0"/>
          <c:layout>
            <c:manualLayout>
              <c:x val="-7.5045988547191494E-2"/>
              <c:y val="-0.12036432954800302"/>
            </c:manualLayout>
          </c:layout>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ln w="28575" cap="rnd">
            <a:solidFill>
              <a:srgbClr val="2CE02C"/>
            </a:solidFill>
            <a:prstDash val="dash"/>
            <a:round/>
          </a:ln>
          <a:effectLst/>
        </c:spPr>
        <c:marker>
          <c:symbol val="triangle"/>
          <c:size val="10"/>
          <c:spPr>
            <a:solidFill>
              <a:srgbClr val="00B0F0"/>
            </a:solidFill>
            <a:ln w="9525">
              <a:solidFill>
                <a:schemeClr val="accent1"/>
              </a:solidFill>
            </a:ln>
            <a:effectLst/>
          </c:spPr>
        </c:marker>
        <c:dLbl>
          <c:idx val="0"/>
          <c:layout>
            <c:manualLayout>
              <c:x val="-6.8156199527939318E-2"/>
              <c:y val="-0.11580656952377069"/>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fld id="{07B4F360-D88C-4D17-9C91-D303865F4480}" type="VALUE">
                  <a:rPr lang="en-US" sz="1000" b="1">
                    <a:solidFill>
                      <a:sysClr val="windowText" lastClr="000000"/>
                    </a:solidFill>
                  </a:rPr>
                  <a:pPr>
                    <a:defRPr sz="1000" b="1">
                      <a:solidFill>
                        <a:sysClr val="windowText" lastClr="000000"/>
                      </a:solidFill>
                    </a:defRPr>
                  </a:pPr>
                  <a:t>[VALUE]</a:t>
                </a:fld>
                <a:r>
                  <a:rPr lang="en-US" sz="1000" b="1">
                    <a:solidFill>
                      <a:sysClr val="windowText" lastClr="000000"/>
                    </a:solidFill>
                  </a:rPr>
                  <a:t>, </a:t>
                </a:r>
                <a:fld id="{629AAF7D-4312-40AC-BDC0-37348E27D7AE}" type="VALUE">
                  <a:rPr lang="en-US" sz="1000" b="1">
                    <a:solidFill>
                      <a:sysClr val="windowText" lastClr="000000"/>
                    </a:solidFill>
                  </a:rPr>
                  <a:pPr>
                    <a:defRPr sz="1000" b="1">
                      <a:solidFill>
                        <a:sysClr val="windowText" lastClr="000000"/>
                      </a:solidFill>
                    </a:defRPr>
                  </a:pPr>
                  <a:t>[VALUE]</a:t>
                </a:fld>
                <a:endParaRPr lang="en-US" sz="1000" b="1">
                  <a:solidFill>
                    <a:sysClr val="windowText" lastClr="000000"/>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Lst>
        </c:dLbl>
      </c:pivotFmt>
    </c:pivotFmts>
    <c:plotArea>
      <c:layout>
        <c:manualLayout>
          <c:layoutTarget val="inner"/>
          <c:xMode val="edge"/>
          <c:yMode val="edge"/>
          <c:x val="3.0555555555555555E-2"/>
          <c:y val="0.15319444444444447"/>
          <c:w val="0.93888888888888888"/>
          <c:h val="0.72088764946048411"/>
        </c:manualLayout>
      </c:layout>
      <c:lineChart>
        <c:grouping val="standard"/>
        <c:varyColors val="0"/>
        <c:ser>
          <c:idx val="0"/>
          <c:order val="0"/>
          <c:tx>
            <c:strRef>
              <c:f>'Line Chart'!$B$3</c:f>
              <c:strCache>
                <c:ptCount val="1"/>
                <c:pt idx="0">
                  <c:v>Total</c:v>
                </c:pt>
              </c:strCache>
            </c:strRef>
          </c:tx>
          <c:spPr>
            <a:ln w="28575" cap="rnd">
              <a:solidFill>
                <a:srgbClr val="FF0000"/>
              </a:solidFill>
              <a:round/>
            </a:ln>
            <a:effectLst/>
          </c:spPr>
          <c:marker>
            <c:symbol val="circle"/>
            <c:size val="10"/>
            <c:spPr>
              <a:solidFill>
                <a:srgbClr val="00B0F0"/>
              </a:solidFill>
              <a:ln w="9525">
                <a:solidFill>
                  <a:schemeClr val="accent1"/>
                </a:solidFill>
              </a:ln>
              <a:effectLst/>
            </c:spPr>
          </c:marker>
          <c:dPt>
            <c:idx val="0"/>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1-25E7-4949-8A4A-0AC1FC2CACD0}"/>
              </c:ext>
            </c:extLst>
          </c:dPt>
          <c:dPt>
            <c:idx val="1"/>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3-25E7-4949-8A4A-0AC1FC2CACD0}"/>
              </c:ext>
            </c:extLst>
          </c:dPt>
          <c:dPt>
            <c:idx val="2"/>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5-25E7-4949-8A4A-0AC1FC2CACD0}"/>
              </c:ext>
            </c:extLst>
          </c:dPt>
          <c:dPt>
            <c:idx val="3"/>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7-25E7-4949-8A4A-0AC1FC2CACD0}"/>
              </c:ext>
            </c:extLst>
          </c:dPt>
          <c:dPt>
            <c:idx val="4"/>
            <c:marker>
              <c:symbol val="circle"/>
              <c:size val="10"/>
              <c:spPr>
                <a:solidFill>
                  <a:srgbClr val="00B0F0"/>
                </a:solidFill>
                <a:ln w="9525">
                  <a:solidFill>
                    <a:schemeClr val="accent1"/>
                  </a:solidFill>
                </a:ln>
                <a:effectLst/>
              </c:spPr>
            </c:marker>
            <c:bubble3D val="0"/>
            <c:spPr>
              <a:ln w="28575" cap="rnd">
                <a:solidFill>
                  <a:srgbClr val="FF0000"/>
                </a:solidFill>
                <a:round/>
              </a:ln>
              <a:effectLst/>
            </c:spPr>
            <c:extLst>
              <c:ext xmlns:c16="http://schemas.microsoft.com/office/drawing/2014/chart" uri="{C3380CC4-5D6E-409C-BE32-E72D297353CC}">
                <c16:uniqueId val="{00000009-25E7-4949-8A4A-0AC1FC2CACD0}"/>
              </c:ext>
            </c:extLst>
          </c:dPt>
          <c:dPt>
            <c:idx val="5"/>
            <c:marker>
              <c:symbol val="triangle"/>
              <c:size val="10"/>
              <c:spPr>
                <a:solidFill>
                  <a:srgbClr val="00B0F0"/>
                </a:solidFill>
                <a:ln w="9525">
                  <a:solidFill>
                    <a:schemeClr val="accent1"/>
                  </a:solidFill>
                </a:ln>
                <a:effectLst/>
              </c:spPr>
            </c:marker>
            <c:bubble3D val="0"/>
            <c:spPr>
              <a:ln w="28575" cap="rnd">
                <a:solidFill>
                  <a:srgbClr val="2CE02C"/>
                </a:solidFill>
                <a:prstDash val="dash"/>
                <a:round/>
              </a:ln>
              <a:effectLst/>
            </c:spPr>
            <c:extLst>
              <c:ext xmlns:c16="http://schemas.microsoft.com/office/drawing/2014/chart" uri="{C3380CC4-5D6E-409C-BE32-E72D297353CC}">
                <c16:uniqueId val="{0000000B-25E7-4949-8A4A-0AC1FC2CACD0}"/>
              </c:ext>
            </c:extLst>
          </c:dPt>
          <c:dLbls>
            <c:dLbl>
              <c:idx val="4"/>
              <c:layout>
                <c:manualLayout>
                  <c:x val="-7.5045988547191494E-2"/>
                  <c:y val="-0.1203643295480030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25E7-4949-8A4A-0AC1FC2CACD0}"/>
                </c:ext>
              </c:extLst>
            </c:dLbl>
            <c:dLbl>
              <c:idx val="5"/>
              <c:layout>
                <c:manualLayout>
                  <c:x val="-6.8156199527939318E-2"/>
                  <c:y val="-0.11580656952377069"/>
                </c:manualLayout>
              </c:layout>
              <c:tx>
                <c:rich>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fld id="{07B4F360-D88C-4D17-9C91-D303865F4480}" type="VALUE">
                      <a:rPr lang="en-US" sz="1000" b="1">
                        <a:solidFill>
                          <a:sysClr val="windowText" lastClr="000000"/>
                        </a:solidFill>
                      </a:rPr>
                      <a:pPr>
                        <a:defRPr sz="1000" b="1">
                          <a:solidFill>
                            <a:sysClr val="windowText" lastClr="000000"/>
                          </a:solidFill>
                        </a:defRPr>
                      </a:pPr>
                      <a:t>[VALUE]</a:t>
                    </a:fld>
                    <a:r>
                      <a:rPr lang="en-US" sz="1000" b="1">
                        <a:solidFill>
                          <a:sysClr val="windowText" lastClr="000000"/>
                        </a:solidFill>
                      </a:rPr>
                      <a:t>, </a:t>
                    </a:r>
                    <a:fld id="{629AAF7D-4312-40AC-BDC0-37348E27D7AE}" type="VALUE">
                      <a:rPr lang="en-US" sz="1000" b="1">
                        <a:solidFill>
                          <a:sysClr val="windowText" lastClr="000000"/>
                        </a:solidFill>
                      </a:rPr>
                      <a:pPr>
                        <a:defRPr sz="1000" b="1">
                          <a:solidFill>
                            <a:sysClr val="windowText" lastClr="000000"/>
                          </a:solidFill>
                        </a:defRPr>
                      </a:pPr>
                      <a:t>[VALUE]</a:t>
                    </a:fld>
                    <a:endParaRPr lang="en-US" sz="1000" b="1">
                      <a:solidFill>
                        <a:sysClr val="windowText" lastClr="000000"/>
                      </a:solidFill>
                    </a:endParaRPr>
                  </a:p>
                </c:rich>
              </c:tx>
              <c:numFmt formatCode="0.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99309859466716"/>
                      <c:h val="6.5293307275814561E-2"/>
                    </c:manualLayout>
                  </c15:layout>
                  <c15:dlblFieldTable/>
                  <c15:showDataLabelsRange val="0"/>
                </c:ext>
                <c:ext xmlns:c16="http://schemas.microsoft.com/office/drawing/2014/chart" uri="{C3380CC4-5D6E-409C-BE32-E72D297353CC}">
                  <c16:uniqueId val="{0000000B-25E7-4949-8A4A-0AC1FC2CACD0}"/>
                </c:ext>
              </c:extLst>
            </c:dLbl>
            <c:numFmt formatCode="0.0,&quot;K&quot;" sourceLinked="0"/>
            <c:spPr>
              <a:solidFill>
                <a:srgbClr val="FFC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'Line Chart'!$A$4:$A$10</c:f>
              <c:strCache>
                <c:ptCount val="6"/>
                <c:pt idx="0">
                  <c:v>Jan</c:v>
                </c:pt>
                <c:pt idx="1">
                  <c:v>Feb</c:v>
                </c:pt>
                <c:pt idx="2">
                  <c:v>Mar</c:v>
                </c:pt>
                <c:pt idx="3">
                  <c:v>Apr</c:v>
                </c:pt>
                <c:pt idx="4">
                  <c:v>Jun</c:v>
                </c:pt>
                <c:pt idx="5">
                  <c:v>Jul</c:v>
                </c:pt>
              </c:strCache>
            </c:strRef>
          </c:cat>
          <c:val>
            <c:numRef>
              <c:f>'Line Chart'!$B$4:$B$10</c:f>
              <c:numCache>
                <c:formatCode>General</c:formatCode>
                <c:ptCount val="6"/>
                <c:pt idx="0">
                  <c:v>22800</c:v>
                </c:pt>
                <c:pt idx="1">
                  <c:v>42387.5</c:v>
                </c:pt>
                <c:pt idx="2">
                  <c:v>13937.5</c:v>
                </c:pt>
                <c:pt idx="3">
                  <c:v>13857</c:v>
                </c:pt>
                <c:pt idx="4">
                  <c:v>13560.25</c:v>
                </c:pt>
                <c:pt idx="5">
                  <c:v>14302.75</c:v>
                </c:pt>
              </c:numCache>
            </c:numRef>
          </c:val>
          <c:smooth val="0"/>
          <c:extLst>
            <c:ext xmlns:c16="http://schemas.microsoft.com/office/drawing/2014/chart" uri="{C3380CC4-5D6E-409C-BE32-E72D297353CC}">
              <c16:uniqueId val="{0000000C-25E7-4949-8A4A-0AC1FC2CACD0}"/>
            </c:ext>
          </c:extLst>
        </c:ser>
        <c:dLbls>
          <c:showLegendKey val="0"/>
          <c:showVal val="0"/>
          <c:showCatName val="0"/>
          <c:showSerName val="0"/>
          <c:showPercent val="0"/>
          <c:showBubbleSize val="0"/>
        </c:dLbls>
        <c:marker val="1"/>
        <c:smooth val="0"/>
        <c:axId val="612918336"/>
        <c:axId val="612917856"/>
      </c:lineChart>
      <c:catAx>
        <c:axId val="6129183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12917856"/>
        <c:crosses val="autoZero"/>
        <c:auto val="1"/>
        <c:lblAlgn val="ctr"/>
        <c:lblOffset val="100"/>
        <c:noMultiLvlLbl val="0"/>
      </c:catAx>
      <c:valAx>
        <c:axId val="612917856"/>
        <c:scaling>
          <c:orientation val="minMax"/>
        </c:scaling>
        <c:delete val="1"/>
        <c:axPos val="l"/>
        <c:numFmt formatCode="General" sourceLinked="1"/>
        <c:majorTickMark val="out"/>
        <c:minorTickMark val="none"/>
        <c:tickLblPos val="nextTo"/>
        <c:crossAx val="61291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[charts.xlsx]Combo Chart!PivotTable6</c:name>
    <c:fmtId val="1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t>Region</a:t>
            </a:r>
            <a:r>
              <a:rPr lang="en-IN" b="1" baseline="0"/>
              <a:t> Wise Profit and Cost 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rgbClr val="2CE02C"/>
          </a:solidFill>
          <a:ln>
            <a:noFill/>
          </a:ln>
          <a:effectLst/>
        </c:spPr>
        <c:marker>
          <c:symbol val="none"/>
        </c:marker>
        <c:dLbl>
          <c:idx val="0"/>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10"/>
          <c:spPr>
            <a:solidFill>
              <a:srgbClr val="0070C0"/>
            </a:solidFill>
            <a:ln w="9525">
              <a:solidFill>
                <a:schemeClr val="accent2"/>
              </a:solidFill>
            </a:ln>
            <a:effectLst/>
          </c:spPr>
        </c:marker>
        <c:dLbl>
          <c:idx val="0"/>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1.9032082653616094E-2"/>
              <c:y val="-3.8022813688212927E-2"/>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2CE02C"/>
          </a:solidFill>
          <a:ln>
            <a:noFill/>
          </a:ln>
          <a:effectLst/>
        </c:spPr>
        <c:dLbl>
          <c:idx val="0"/>
          <c:layout>
            <c:manualLayout>
              <c:x val="-0.10875475802066351"/>
              <c:y val="-0.3074112884178451"/>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2CE02C"/>
          </a:solidFill>
          <a:ln>
            <a:noFill/>
          </a:ln>
          <a:effectLst/>
        </c:spPr>
        <c:dLbl>
          <c:idx val="0"/>
          <c:layout>
            <c:manualLayout>
              <c:x val="-0.12778684067427951"/>
              <c:y val="5.7636331580225478E-2"/>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2CE02C"/>
          </a:solidFill>
          <a:ln>
            <a:noFill/>
          </a:ln>
          <a:effectLst/>
        </c:spPr>
        <c:dLbl>
          <c:idx val="0"/>
          <c:layout>
            <c:manualLayout>
              <c:x val="-3.2626427406199074E-2"/>
              <c:y val="-0.2452980449687136"/>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2CE02C"/>
          </a:solidFill>
          <a:ln>
            <a:noFill/>
          </a:ln>
          <a:effectLst/>
        </c:spPr>
        <c:dLbl>
          <c:idx val="0"/>
          <c:layout>
            <c:manualLayout>
              <c:x val="-7.3409461663947795E-2"/>
              <c:y val="-0.28619269549481219"/>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2.9907558455682437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3.2626427406199074E-2"/>
              <c:y val="8.449514152936051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28575" cap="rnd">
            <a:solidFill>
              <a:schemeClr val="accent2"/>
            </a:solidFill>
            <a:round/>
          </a:ln>
          <a:effectLst/>
        </c:spPr>
        <c:marker>
          <c:symbol val="circle"/>
          <c:size val="10"/>
          <c:spPr>
            <a:solidFill>
              <a:srgbClr val="0070C0"/>
            </a:solidFill>
            <a:ln w="9525">
              <a:solidFill>
                <a:schemeClr val="accent2"/>
              </a:solidFill>
            </a:ln>
            <a:effectLst/>
          </c:spPr>
        </c:marker>
        <c:dLbl>
          <c:idx val="0"/>
          <c:layout>
            <c:manualLayout>
              <c:x val="2.1750951604132682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CE02C"/>
          </a:solidFill>
          <a:ln>
            <a:noFill/>
          </a:ln>
          <a:effectLst/>
        </c:spPr>
        <c:marker>
          <c:symbol val="none"/>
        </c:marker>
        <c:dLbl>
          <c:idx val="0"/>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2CE02C"/>
          </a:solidFill>
          <a:ln>
            <a:noFill/>
          </a:ln>
          <a:effectLst/>
        </c:spPr>
        <c:dLbl>
          <c:idx val="0"/>
          <c:layout>
            <c:manualLayout>
              <c:x val="-7.3409461663947795E-2"/>
              <c:y val="-0.28619269549481219"/>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2CE02C"/>
          </a:solidFill>
          <a:ln>
            <a:noFill/>
          </a:ln>
          <a:effectLst/>
        </c:spPr>
        <c:dLbl>
          <c:idx val="0"/>
          <c:layout>
            <c:manualLayout>
              <c:x val="-3.2626427406199074E-2"/>
              <c:y val="-0.2452980449687136"/>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2CE02C"/>
          </a:solidFill>
          <a:ln>
            <a:noFill/>
          </a:ln>
          <a:effectLst/>
        </c:spPr>
        <c:dLbl>
          <c:idx val="0"/>
          <c:layout>
            <c:manualLayout>
              <c:x val="-0.10875475802066351"/>
              <c:y val="-0.3074112884178451"/>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2CE02C"/>
          </a:solidFill>
          <a:ln>
            <a:noFill/>
          </a:ln>
          <a:effectLst/>
        </c:spPr>
        <c:dLbl>
          <c:idx val="0"/>
          <c:layout>
            <c:manualLayout>
              <c:x val="-0.12778684067427951"/>
              <c:y val="5.7636331580225478E-2"/>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8575" cap="rnd">
            <a:solidFill>
              <a:schemeClr val="accent1"/>
            </a:solidFill>
            <a:round/>
          </a:ln>
          <a:effectLst/>
        </c:spPr>
        <c:marker>
          <c:symbol val="circle"/>
          <c:size val="10"/>
          <c:spPr>
            <a:solidFill>
              <a:srgbClr val="0070C0"/>
            </a:solidFill>
            <a:ln w="9525">
              <a:solidFill>
                <a:schemeClr val="accent2"/>
              </a:solidFill>
            </a:ln>
            <a:effectLst/>
          </c:spPr>
        </c:marker>
        <c:dLbl>
          <c:idx val="0"/>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28575" cap="rnd">
            <a:solidFill>
              <a:schemeClr val="accent2"/>
            </a:solidFill>
            <a:round/>
          </a:ln>
          <a:effectLst/>
        </c:spPr>
        <c:marker>
          <c:symbol val="circle"/>
          <c:size val="10"/>
          <c:spPr>
            <a:solidFill>
              <a:srgbClr val="0070C0"/>
            </a:solidFill>
            <a:ln w="9525">
              <a:solidFill>
                <a:schemeClr val="accent2"/>
              </a:solidFill>
            </a:ln>
            <a:effectLst/>
          </c:spPr>
        </c:marker>
        <c:dLbl>
          <c:idx val="0"/>
          <c:layout>
            <c:manualLayout>
              <c:x val="2.1750951604132682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3.2626427406199074E-2"/>
              <c:y val="8.449514152936051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1.9032082653616094E-2"/>
              <c:y val="-3.8022813688212927E-2"/>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2.9907558455682437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2CE02C"/>
          </a:solidFill>
          <a:ln>
            <a:noFill/>
          </a:ln>
          <a:effectLst/>
        </c:spPr>
        <c:marker>
          <c:symbol val="none"/>
        </c:marker>
        <c:dLbl>
          <c:idx val="0"/>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2CE02C"/>
          </a:solidFill>
          <a:ln>
            <a:noFill/>
          </a:ln>
          <a:effectLst/>
        </c:spPr>
        <c:dLbl>
          <c:idx val="0"/>
          <c:layout>
            <c:manualLayout>
              <c:x val="-7.3409461663947795E-2"/>
              <c:y val="-0.28619269549481219"/>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2CE02C"/>
          </a:solidFill>
          <a:ln>
            <a:noFill/>
          </a:ln>
          <a:effectLst/>
        </c:spPr>
        <c:dLbl>
          <c:idx val="0"/>
          <c:layout>
            <c:manualLayout>
              <c:x val="-3.2626427406199074E-2"/>
              <c:y val="-0.2452980449687136"/>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2CE02C"/>
          </a:solidFill>
          <a:ln>
            <a:noFill/>
          </a:ln>
          <a:effectLst/>
        </c:spPr>
        <c:dLbl>
          <c:idx val="0"/>
          <c:layout>
            <c:manualLayout>
              <c:x val="-0.10875475802066351"/>
              <c:y val="-0.3074112884178451"/>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2CE02C"/>
          </a:solidFill>
          <a:ln>
            <a:noFill/>
          </a:ln>
          <a:effectLst/>
        </c:spPr>
        <c:dLbl>
          <c:idx val="0"/>
          <c:layout>
            <c:manualLayout>
              <c:x val="-0.12778684067427951"/>
              <c:y val="5.7636331580225478E-2"/>
            </c:manualLayout>
          </c:layout>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ln w="28575" cap="rnd">
            <a:solidFill>
              <a:schemeClr val="accent1"/>
            </a:solidFill>
            <a:round/>
          </a:ln>
          <a:effectLst/>
        </c:spPr>
        <c:marker>
          <c:symbol val="circle"/>
          <c:size val="10"/>
          <c:spPr>
            <a:solidFill>
              <a:srgbClr val="0070C0"/>
            </a:solidFill>
            <a:ln w="9525">
              <a:solidFill>
                <a:schemeClr val="accent2"/>
              </a:solidFill>
            </a:ln>
            <a:effectLst/>
          </c:spPr>
        </c:marker>
        <c:dLbl>
          <c:idx val="0"/>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ln w="28575" cap="rnd">
            <a:solidFill>
              <a:schemeClr val="accent2"/>
            </a:solidFill>
            <a:round/>
          </a:ln>
          <a:effectLst/>
        </c:spPr>
        <c:marker>
          <c:symbol val="circle"/>
          <c:size val="10"/>
          <c:spPr>
            <a:solidFill>
              <a:srgbClr val="0070C0"/>
            </a:solidFill>
            <a:ln w="9525">
              <a:solidFill>
                <a:schemeClr val="accent2"/>
              </a:solidFill>
            </a:ln>
            <a:effectLst/>
          </c:spPr>
        </c:marker>
        <c:dLbl>
          <c:idx val="0"/>
          <c:layout>
            <c:manualLayout>
              <c:x val="2.1750951604132682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3.2626427406199074E-2"/>
              <c:y val="8.449514152936051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1.9032082653616094E-2"/>
              <c:y val="-3.8022813688212927E-2"/>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ln w="28575" cap="rnd">
            <a:solidFill>
              <a:srgbClr val="FFFF00"/>
            </a:solidFill>
            <a:round/>
          </a:ln>
          <a:effectLst/>
        </c:spPr>
        <c:marker>
          <c:symbol val="circle"/>
          <c:size val="10"/>
          <c:spPr>
            <a:solidFill>
              <a:srgbClr val="0070C0"/>
            </a:solidFill>
            <a:ln w="9525">
              <a:solidFill>
                <a:schemeClr val="accent2"/>
              </a:solidFill>
            </a:ln>
            <a:effectLst/>
          </c:spPr>
        </c:marker>
        <c:dLbl>
          <c:idx val="0"/>
          <c:layout>
            <c:manualLayout>
              <c:x val="2.9907558455682437E-2"/>
              <c:y val="4.2247570764681027E-3"/>
            </c:manualLayout>
          </c:layout>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'Combo Chart'!$B$3</c:f>
              <c:strCache>
                <c:ptCount val="1"/>
                <c:pt idx="0">
                  <c:v>Sum of Profit</c:v>
                </c:pt>
              </c:strCache>
            </c:strRef>
          </c:tx>
          <c:spPr>
            <a:solidFill>
              <a:srgbClr val="2CE02C"/>
            </a:solidFill>
            <a:ln>
              <a:noFill/>
            </a:ln>
            <a:effectLst/>
          </c:spPr>
          <c:invertIfNegative val="0"/>
          <c:dPt>
            <c:idx val="0"/>
            <c:invertIfNegative val="0"/>
            <c:bubble3D val="0"/>
            <c:spPr>
              <a:solidFill>
                <a:srgbClr val="2CE02C"/>
              </a:solidFill>
              <a:ln>
                <a:noFill/>
              </a:ln>
              <a:effectLst/>
            </c:spPr>
            <c:extLst>
              <c:ext xmlns:c16="http://schemas.microsoft.com/office/drawing/2014/chart" uri="{C3380CC4-5D6E-409C-BE32-E72D297353CC}">
                <c16:uniqueId val="{00000001-1550-4BD6-9A07-5F1985A6F0F4}"/>
              </c:ext>
            </c:extLst>
          </c:dPt>
          <c:dPt>
            <c:idx val="1"/>
            <c:invertIfNegative val="0"/>
            <c:bubble3D val="0"/>
            <c:spPr>
              <a:solidFill>
                <a:srgbClr val="2CE02C"/>
              </a:solidFill>
              <a:ln>
                <a:noFill/>
              </a:ln>
              <a:effectLst/>
            </c:spPr>
            <c:extLst>
              <c:ext xmlns:c16="http://schemas.microsoft.com/office/drawing/2014/chart" uri="{C3380CC4-5D6E-409C-BE32-E72D297353CC}">
                <c16:uniqueId val="{00000003-1550-4BD6-9A07-5F1985A6F0F4}"/>
              </c:ext>
            </c:extLst>
          </c:dPt>
          <c:dPt>
            <c:idx val="2"/>
            <c:invertIfNegative val="0"/>
            <c:bubble3D val="0"/>
            <c:spPr>
              <a:solidFill>
                <a:srgbClr val="2CE02C"/>
              </a:solidFill>
              <a:ln>
                <a:noFill/>
              </a:ln>
              <a:effectLst/>
            </c:spPr>
            <c:extLst>
              <c:ext xmlns:c16="http://schemas.microsoft.com/office/drawing/2014/chart" uri="{C3380CC4-5D6E-409C-BE32-E72D297353CC}">
                <c16:uniqueId val="{00000005-1550-4BD6-9A07-5F1985A6F0F4}"/>
              </c:ext>
            </c:extLst>
          </c:dPt>
          <c:dPt>
            <c:idx val="3"/>
            <c:invertIfNegative val="0"/>
            <c:bubble3D val="0"/>
            <c:spPr>
              <a:solidFill>
                <a:srgbClr val="2CE02C"/>
              </a:solidFill>
              <a:ln>
                <a:noFill/>
              </a:ln>
              <a:effectLst/>
            </c:spPr>
            <c:extLst>
              <c:ext xmlns:c16="http://schemas.microsoft.com/office/drawing/2014/chart" uri="{C3380CC4-5D6E-409C-BE32-E72D297353CC}">
                <c16:uniqueId val="{00000007-1550-4BD6-9A07-5F1985A6F0F4}"/>
              </c:ext>
            </c:extLst>
          </c:dPt>
          <c:dLbls>
            <c:dLbl>
              <c:idx val="0"/>
              <c:layout>
                <c:manualLayout>
                  <c:x val="-7.3409461663947795E-2"/>
                  <c:y val="-0.2861926954948121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50-4BD6-9A07-5F1985A6F0F4}"/>
                </c:ext>
              </c:extLst>
            </c:dLbl>
            <c:dLbl>
              <c:idx val="1"/>
              <c:layout>
                <c:manualLayout>
                  <c:x val="-3.2626427406199074E-2"/>
                  <c:y val="-0.24529804496871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50-4BD6-9A07-5F1985A6F0F4}"/>
                </c:ext>
              </c:extLst>
            </c:dLbl>
            <c:dLbl>
              <c:idx val="2"/>
              <c:layout>
                <c:manualLayout>
                  <c:x val="-0.10875475802066351"/>
                  <c:y val="-0.30741128841784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50-4BD6-9A07-5F1985A6F0F4}"/>
                </c:ext>
              </c:extLst>
            </c:dLbl>
            <c:dLbl>
              <c:idx val="3"/>
              <c:layout>
                <c:manualLayout>
                  <c:x val="-0.12778684067427951"/>
                  <c:y val="5.763633158022547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550-4BD6-9A07-5F1985A6F0F4}"/>
                </c:ext>
              </c:extLst>
            </c:dLbl>
            <c:numFmt formatCode="0.000,,&quot;M&quot;" sourceLinked="0"/>
            <c:spPr>
              <a:solidFill>
                <a:srgbClr val="FFFF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'Combo Chart'!$A$4:$A$8</c:f>
              <c:strCache>
                <c:ptCount val="4"/>
                <c:pt idx="0">
                  <c:v>East</c:v>
                </c:pt>
                <c:pt idx="1">
                  <c:v>North</c:v>
                </c:pt>
                <c:pt idx="2">
                  <c:v>South</c:v>
                </c:pt>
                <c:pt idx="3">
                  <c:v>West</c:v>
                </c:pt>
              </c:strCache>
            </c:strRef>
          </c:cat>
          <c:val>
            <c:numRef>
              <c:f>'Combo Chart'!$B$4:$B$8</c:f>
              <c:numCache>
                <c:formatCode>General</c:formatCode>
                <c:ptCount val="4"/>
                <c:pt idx="0">
                  <c:v>28523.25</c:v>
                </c:pt>
                <c:pt idx="1">
                  <c:v>21916.5</c:v>
                </c:pt>
                <c:pt idx="2">
                  <c:v>36871.75</c:v>
                </c:pt>
                <c:pt idx="3">
                  <c:v>33533.5</c:v>
                </c:pt>
              </c:numCache>
            </c:numRef>
          </c:val>
          <c:extLst>
            <c:ext xmlns:c16="http://schemas.microsoft.com/office/drawing/2014/chart" uri="{C3380CC4-5D6E-409C-BE32-E72D297353CC}">
              <c16:uniqueId val="{00000008-1550-4BD6-9A07-5F1985A6F0F4}"/>
            </c:ext>
          </c:extLst>
        </c:ser>
        <c:dLbls>
          <c:showLegendKey val="0"/>
          <c:showVal val="0"/>
          <c:showCatName val="0"/>
          <c:showSerName val="0"/>
          <c:showPercent val="0"/>
          <c:showBubbleSize val="0"/>
        </c:dLbls>
        <c:gapWidth val="225"/>
        <c:overlap val="100"/>
        <c:axId val="452810608"/>
        <c:axId val="452807728"/>
      </c:barChart>
      <c:lineChart>
        <c:grouping val="standard"/>
        <c:varyColors val="0"/>
        <c:ser>
          <c:idx val="1"/>
          <c:order val="1"/>
          <c:tx>
            <c:strRef>
              <c:f>'Combo Chart'!$C$3</c:f>
              <c:strCache>
                <c:ptCount val="1"/>
                <c:pt idx="0">
                  <c:v>Sum of Cost Price</c:v>
                </c:pt>
              </c:strCache>
            </c:strRef>
          </c:tx>
          <c:spPr>
            <a:ln w="28575" cap="rnd">
              <a:solidFill>
                <a:schemeClr val="accent2"/>
              </a:solidFill>
              <a:round/>
            </a:ln>
            <a:effectLst/>
          </c:spPr>
          <c:marker>
            <c:symbol val="circle"/>
            <c:size val="10"/>
            <c:spPr>
              <a:solidFill>
                <a:srgbClr val="0070C0"/>
              </a:solidFill>
              <a:ln w="9525">
                <a:solidFill>
                  <a:schemeClr val="accent2"/>
                </a:solidFill>
              </a:ln>
              <a:effectLst/>
            </c:spPr>
          </c:marker>
          <c:dPt>
            <c:idx val="1"/>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A-1550-4BD6-9A07-5F1985A6F0F4}"/>
              </c:ext>
            </c:extLst>
          </c:dPt>
          <c:dPt>
            <c:idx val="2"/>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C-1550-4BD6-9A07-5F1985A6F0F4}"/>
              </c:ext>
            </c:extLst>
          </c:dPt>
          <c:dPt>
            <c:idx val="3"/>
            <c:marker>
              <c:symbol val="circle"/>
              <c:size val="10"/>
              <c:spPr>
                <a:solidFill>
                  <a:srgbClr val="0070C0"/>
                </a:solidFill>
                <a:ln w="9525">
                  <a:solidFill>
                    <a:schemeClr val="accent2"/>
                  </a:solidFill>
                </a:ln>
                <a:effectLst/>
              </c:spPr>
            </c:marker>
            <c:bubble3D val="0"/>
            <c:spPr>
              <a:ln w="28575" cap="rnd">
                <a:solidFill>
                  <a:srgbClr val="FFFF00"/>
                </a:solidFill>
                <a:round/>
              </a:ln>
              <a:effectLst/>
            </c:spPr>
            <c:extLst>
              <c:ext xmlns:c16="http://schemas.microsoft.com/office/drawing/2014/chart" uri="{C3380CC4-5D6E-409C-BE32-E72D297353CC}">
                <c16:uniqueId val="{0000000E-1550-4BD6-9A07-5F1985A6F0F4}"/>
              </c:ext>
            </c:extLst>
          </c:dPt>
          <c:dLbls>
            <c:dLbl>
              <c:idx val="0"/>
              <c:layout>
                <c:manualLayout>
                  <c:x val="2.1750951604132682E-2"/>
                  <c:y val="-4.2247570764681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550-4BD6-9A07-5F1985A6F0F4}"/>
                </c:ext>
              </c:extLst>
            </c:dLbl>
            <c:dLbl>
              <c:idx val="1"/>
              <c:layout>
                <c:manualLayout>
                  <c:x val="3.2626427406199074E-2"/>
                  <c:y val="8.44951415293605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550-4BD6-9A07-5F1985A6F0F4}"/>
                </c:ext>
              </c:extLst>
            </c:dLbl>
            <c:dLbl>
              <c:idx val="2"/>
              <c:layout>
                <c:manualLayout>
                  <c:x val="1.9032082653616094E-2"/>
                  <c:y val="-3.80228136882129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550-4BD6-9A07-5F1985A6F0F4}"/>
                </c:ext>
              </c:extLst>
            </c:dLbl>
            <c:dLbl>
              <c:idx val="3"/>
              <c:layout>
                <c:manualLayout>
                  <c:x val="2.9907558455682437E-2"/>
                  <c:y val="4.224757076468102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550-4BD6-9A07-5F1985A6F0F4}"/>
                </c:ext>
              </c:extLst>
            </c:dLbl>
            <c:numFmt formatCode="0.00,,&quot;M&quot;" sourceLinked="0"/>
            <c:spPr>
              <a:solidFill>
                <a:srgbClr val="FFD03B"/>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'Combo Chart'!$A$4:$A$8</c:f>
              <c:strCache>
                <c:ptCount val="4"/>
                <c:pt idx="0">
                  <c:v>East</c:v>
                </c:pt>
                <c:pt idx="1">
                  <c:v>North</c:v>
                </c:pt>
                <c:pt idx="2">
                  <c:v>South</c:v>
                </c:pt>
                <c:pt idx="3">
                  <c:v>West</c:v>
                </c:pt>
              </c:strCache>
            </c:strRef>
          </c:cat>
          <c:val>
            <c:numRef>
              <c:f>'Combo Chart'!$C$4:$C$8</c:f>
              <c:numCache>
                <c:formatCode>General</c:formatCode>
                <c:ptCount val="4"/>
                <c:pt idx="0">
                  <c:v>4232864</c:v>
                </c:pt>
                <c:pt idx="1">
                  <c:v>1981472</c:v>
                </c:pt>
                <c:pt idx="2">
                  <c:v>6426960</c:v>
                </c:pt>
                <c:pt idx="3">
                  <c:v>3186568</c:v>
                </c:pt>
              </c:numCache>
            </c:numRef>
          </c:val>
          <c:smooth val="0"/>
          <c:extLst>
            <c:ext xmlns:c16="http://schemas.microsoft.com/office/drawing/2014/chart" uri="{C3380CC4-5D6E-409C-BE32-E72D297353CC}">
              <c16:uniqueId val="{00000010-1550-4BD6-9A07-5F1985A6F0F4}"/>
            </c:ext>
          </c:extLst>
        </c:ser>
        <c:dLbls>
          <c:showLegendKey val="0"/>
          <c:showVal val="0"/>
          <c:showCatName val="0"/>
          <c:showSerName val="0"/>
          <c:showPercent val="0"/>
          <c:showBubbleSize val="0"/>
        </c:dLbls>
        <c:marker val="1"/>
        <c:smooth val="0"/>
        <c:axId val="453320352"/>
        <c:axId val="453321312"/>
      </c:lineChart>
      <c:catAx>
        <c:axId val="453320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3321312"/>
        <c:crosses val="autoZero"/>
        <c:auto val="1"/>
        <c:lblAlgn val="ctr"/>
        <c:lblOffset val="100"/>
        <c:noMultiLvlLbl val="0"/>
      </c:catAx>
      <c:valAx>
        <c:axId val="453321312"/>
        <c:scaling>
          <c:orientation val="minMax"/>
        </c:scaling>
        <c:delete val="0"/>
        <c:axPos val="l"/>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3320352"/>
        <c:crosses val="autoZero"/>
        <c:crossBetween val="between"/>
      </c:valAx>
      <c:valAx>
        <c:axId val="452807728"/>
        <c:scaling>
          <c:orientation val="minMax"/>
        </c:scaling>
        <c:delete val="0"/>
        <c:axPos val="r"/>
        <c:numFmt formatCode="General"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52810608"/>
        <c:crosses val="max"/>
        <c:crossBetween val="between"/>
      </c:valAx>
      <c:catAx>
        <c:axId val="452810608"/>
        <c:scaling>
          <c:orientation val="minMax"/>
        </c:scaling>
        <c:delete val="1"/>
        <c:axPos val="b"/>
        <c:numFmt formatCode="General" sourceLinked="1"/>
        <c:majorTickMark val="out"/>
        <c:minorTickMark val="none"/>
        <c:tickLblPos val="nextTo"/>
        <c:crossAx val="452807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solidFill>
    <a:ln w="38100" cap="flat" cmpd="sng" algn="ctr">
      <a:solidFill>
        <a:schemeClr val="lt1"/>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388620</xdr:colOff>
      <xdr:row>2</xdr:row>
      <xdr:rowOff>140970</xdr:rowOff>
    </xdr:from>
    <xdr:to>
      <xdr:col>19</xdr:col>
      <xdr:colOff>403860</xdr:colOff>
      <xdr:row>22</xdr:row>
      <xdr:rowOff>0</xdr:rowOff>
    </xdr:to>
    <xdr:graphicFrame macro="">
      <xdr:nvGraphicFramePr>
        <xdr:cNvPr id="2" name="Chart 1">
          <a:extLst>
            <a:ext uri="{FF2B5EF4-FFF2-40B4-BE49-F238E27FC236}">
              <a16:creationId xmlns:a16="http://schemas.microsoft.com/office/drawing/2014/main" id="{26E14A08-01E7-4B31-7A85-CD4B67E771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556260</xdr:colOff>
      <xdr:row>4</xdr:row>
      <xdr:rowOff>53340</xdr:rowOff>
    </xdr:from>
    <xdr:to>
      <xdr:col>12</xdr:col>
      <xdr:colOff>259080</xdr:colOff>
      <xdr:row>21</xdr:row>
      <xdr:rowOff>148590</xdr:rowOff>
    </xdr:to>
    <xdr:graphicFrame macro="">
      <xdr:nvGraphicFramePr>
        <xdr:cNvPr id="2" name="Chart 1">
          <a:extLst>
            <a:ext uri="{FF2B5EF4-FFF2-40B4-BE49-F238E27FC236}">
              <a16:creationId xmlns:a16="http://schemas.microsoft.com/office/drawing/2014/main" id="{A9CDDCCE-569B-2BCA-62F2-73E23E27AD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6</xdr:row>
      <xdr:rowOff>148590</xdr:rowOff>
    </xdr:from>
    <xdr:to>
      <xdr:col>11</xdr:col>
      <xdr:colOff>525780</xdr:colOff>
      <xdr:row>21</xdr:row>
      <xdr:rowOff>148590</xdr:rowOff>
    </xdr:to>
    <xdr:graphicFrame macro="">
      <xdr:nvGraphicFramePr>
        <xdr:cNvPr id="2" name="Chart 1">
          <a:extLst>
            <a:ext uri="{FF2B5EF4-FFF2-40B4-BE49-F238E27FC236}">
              <a16:creationId xmlns:a16="http://schemas.microsoft.com/office/drawing/2014/main" id="{ED425FC9-FF65-EB92-C26A-BCF0ED701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464820</xdr:colOff>
      <xdr:row>6</xdr:row>
      <xdr:rowOff>112232</xdr:rowOff>
    </xdr:from>
    <xdr:to>
      <xdr:col>10</xdr:col>
      <xdr:colOff>160020</xdr:colOff>
      <xdr:row>21</xdr:row>
      <xdr:rowOff>156210</xdr:rowOff>
    </xdr:to>
    <xdr:graphicFrame macro="">
      <xdr:nvGraphicFramePr>
        <xdr:cNvPr id="2" name="Chart 1">
          <a:extLst>
            <a:ext uri="{FF2B5EF4-FFF2-40B4-BE49-F238E27FC236}">
              <a16:creationId xmlns:a16="http://schemas.microsoft.com/office/drawing/2014/main" id="{851625FD-BEA7-024B-9952-312AD4957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251460</xdr:colOff>
      <xdr:row>8</xdr:row>
      <xdr:rowOff>144780</xdr:rowOff>
    </xdr:from>
    <xdr:to>
      <xdr:col>9</xdr:col>
      <xdr:colOff>182880</xdr:colOff>
      <xdr:row>25</xdr:row>
      <xdr:rowOff>41910</xdr:rowOff>
    </xdr:to>
    <xdr:graphicFrame macro="">
      <xdr:nvGraphicFramePr>
        <xdr:cNvPr id="2" name="Chart 1">
          <a:extLst>
            <a:ext uri="{FF2B5EF4-FFF2-40B4-BE49-F238E27FC236}">
              <a16:creationId xmlns:a16="http://schemas.microsoft.com/office/drawing/2014/main" id="{59974E40-42EB-F797-17C5-3701824E4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403412</xdr:colOff>
      <xdr:row>2</xdr:row>
      <xdr:rowOff>112059</xdr:rowOff>
    </xdr:from>
    <xdr:to>
      <xdr:col>20</xdr:col>
      <xdr:colOff>141767</xdr:colOff>
      <xdr:row>65</xdr:row>
      <xdr:rowOff>173182</xdr:rowOff>
    </xdr:to>
    <xdr:sp macro="" textlink="">
      <xdr:nvSpPr>
        <xdr:cNvPr id="11" name="Rectangle 10">
          <a:extLst>
            <a:ext uri="{FF2B5EF4-FFF2-40B4-BE49-F238E27FC236}">
              <a16:creationId xmlns:a16="http://schemas.microsoft.com/office/drawing/2014/main" id="{915751C2-7167-4F9C-798B-55F4B2C9AEF2}"/>
            </a:ext>
          </a:extLst>
        </xdr:cNvPr>
        <xdr:cNvSpPr/>
      </xdr:nvSpPr>
      <xdr:spPr>
        <a:xfrm>
          <a:off x="403412" y="470647"/>
          <a:ext cx="11840708" cy="11356653"/>
        </a:xfrm>
        <a:prstGeom prst="rect">
          <a:avLst/>
        </a:prstGeom>
        <a:ln w="76200">
          <a:solidFill>
            <a:srgbClr val="92D05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xdr:colOff>
      <xdr:row>11</xdr:row>
      <xdr:rowOff>17144</xdr:rowOff>
    </xdr:from>
    <xdr:to>
      <xdr:col>11</xdr:col>
      <xdr:colOff>542926</xdr:colOff>
      <xdr:row>26</xdr:row>
      <xdr:rowOff>47624</xdr:rowOff>
    </xdr:to>
    <xdr:graphicFrame macro="">
      <xdr:nvGraphicFramePr>
        <xdr:cNvPr id="2" name="Chart 1">
          <a:extLst>
            <a:ext uri="{FF2B5EF4-FFF2-40B4-BE49-F238E27FC236}">
              <a16:creationId xmlns:a16="http://schemas.microsoft.com/office/drawing/2014/main" id="{A83702CB-3ADE-4B3D-A31F-4A8400DAD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78104</xdr:colOff>
      <xdr:row>11</xdr:row>
      <xdr:rowOff>15240</xdr:rowOff>
    </xdr:from>
    <xdr:to>
      <xdr:col>19</xdr:col>
      <xdr:colOff>571500</xdr:colOff>
      <xdr:row>26</xdr:row>
      <xdr:rowOff>66675</xdr:rowOff>
    </xdr:to>
    <xdr:graphicFrame macro="">
      <xdr:nvGraphicFramePr>
        <xdr:cNvPr id="3" name="Chart 2">
          <a:extLst>
            <a:ext uri="{FF2B5EF4-FFF2-40B4-BE49-F238E27FC236}">
              <a16:creationId xmlns:a16="http://schemas.microsoft.com/office/drawing/2014/main" id="{E95799B1-036E-41E1-B78F-DE715029C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87629</xdr:colOff>
      <xdr:row>26</xdr:row>
      <xdr:rowOff>163830</xdr:rowOff>
    </xdr:from>
    <xdr:to>
      <xdr:col>19</xdr:col>
      <xdr:colOff>542924</xdr:colOff>
      <xdr:row>43</xdr:row>
      <xdr:rowOff>19050</xdr:rowOff>
    </xdr:to>
    <xdr:graphicFrame macro="">
      <xdr:nvGraphicFramePr>
        <xdr:cNvPr id="5" name="Chart 4">
          <a:extLst>
            <a:ext uri="{FF2B5EF4-FFF2-40B4-BE49-F238E27FC236}">
              <a16:creationId xmlns:a16="http://schemas.microsoft.com/office/drawing/2014/main" id="{35FA4DD3-938D-40CF-B5A1-28D3ADBC9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3312</xdr:colOff>
      <xdr:row>54</xdr:row>
      <xdr:rowOff>7315</xdr:rowOff>
    </xdr:from>
    <xdr:to>
      <xdr:col>3</xdr:col>
      <xdr:colOff>517358</xdr:colOff>
      <xdr:row>64</xdr:row>
      <xdr:rowOff>144044</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80FB22D1-EACC-FD9D-FA93-DECA05BD4E4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16225" y="9847054"/>
              <a:ext cx="1739872" cy="1958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601180</xdr:colOff>
      <xdr:row>10</xdr:row>
      <xdr:rowOff>160985</xdr:rowOff>
    </xdr:from>
    <xdr:to>
      <xdr:col>3</xdr:col>
      <xdr:colOff>521170</xdr:colOff>
      <xdr:row>53</xdr:row>
      <xdr:rowOff>118056</xdr:rowOff>
    </xdr:to>
    <mc:AlternateContent xmlns:mc="http://schemas.openxmlformats.org/markup-compatibility/2006">
      <mc:Choice xmlns:a14="http://schemas.microsoft.com/office/drawing/2010/main" Requires="a14">
        <xdr:graphicFrame macro="">
          <xdr:nvGraphicFramePr>
            <xdr:cNvPr id="10" name="Territory">
              <a:extLst>
                <a:ext uri="{FF2B5EF4-FFF2-40B4-BE49-F238E27FC236}">
                  <a16:creationId xmlns:a16="http://schemas.microsoft.com/office/drawing/2014/main" id="{EFF0EA4D-169F-B339-3141-6C1DD53C9DFC}"/>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601180" y="1983159"/>
              <a:ext cx="1758729" cy="7792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45720</xdr:colOff>
      <xdr:row>26</xdr:row>
      <xdr:rowOff>144780</xdr:rowOff>
    </xdr:from>
    <xdr:to>
      <xdr:col>11</xdr:col>
      <xdr:colOff>542925</xdr:colOff>
      <xdr:row>43</xdr:row>
      <xdr:rowOff>0</xdr:rowOff>
    </xdr:to>
    <xdr:graphicFrame macro="">
      <xdr:nvGraphicFramePr>
        <xdr:cNvPr id="7" name="Chart 6">
          <a:extLst>
            <a:ext uri="{FF2B5EF4-FFF2-40B4-BE49-F238E27FC236}">
              <a16:creationId xmlns:a16="http://schemas.microsoft.com/office/drawing/2014/main" id="{6194B307-B017-405F-910C-333A3FFE1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38100</xdr:colOff>
      <xdr:row>43</xdr:row>
      <xdr:rowOff>142874</xdr:rowOff>
    </xdr:from>
    <xdr:to>
      <xdr:col>19</xdr:col>
      <xdr:colOff>552450</xdr:colOff>
      <xdr:row>64</xdr:row>
      <xdr:rowOff>123824</xdr:rowOff>
    </xdr:to>
    <xdr:graphicFrame macro="">
      <xdr:nvGraphicFramePr>
        <xdr:cNvPr id="8" name="Chart 7">
          <a:extLst>
            <a:ext uri="{FF2B5EF4-FFF2-40B4-BE49-F238E27FC236}">
              <a16:creationId xmlns:a16="http://schemas.microsoft.com/office/drawing/2014/main" id="{238F53A9-DDD2-46B4-A494-F1CF107F8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3</xdr:row>
      <xdr:rowOff>112060</xdr:rowOff>
    </xdr:from>
    <xdr:to>
      <xdr:col>19</xdr:col>
      <xdr:colOff>515471</xdr:colOff>
      <xdr:row>10</xdr:row>
      <xdr:rowOff>1</xdr:rowOff>
    </xdr:to>
    <xdr:sp macro="" textlink="">
      <xdr:nvSpPr>
        <xdr:cNvPr id="12" name="Rectangle: Rounded Corners 11">
          <a:extLst>
            <a:ext uri="{FF2B5EF4-FFF2-40B4-BE49-F238E27FC236}">
              <a16:creationId xmlns:a16="http://schemas.microsoft.com/office/drawing/2014/main" id="{B9850DD6-5B63-3005-5969-5BE4C36F5F38}"/>
            </a:ext>
          </a:extLst>
        </xdr:cNvPr>
        <xdr:cNvSpPr/>
      </xdr:nvSpPr>
      <xdr:spPr>
        <a:xfrm>
          <a:off x="605118" y="649942"/>
          <a:ext cx="11407588" cy="1143000"/>
        </a:xfrm>
        <a:prstGeom prst="round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493058</xdr:colOff>
      <xdr:row>4</xdr:row>
      <xdr:rowOff>134470</xdr:rowOff>
    </xdr:from>
    <xdr:to>
      <xdr:col>19</xdr:col>
      <xdr:colOff>22412</xdr:colOff>
      <xdr:row>8</xdr:row>
      <xdr:rowOff>123264</xdr:rowOff>
    </xdr:to>
    <xdr:sp macro="" textlink="">
      <xdr:nvSpPr>
        <xdr:cNvPr id="13" name="TextBox 12">
          <a:extLst>
            <a:ext uri="{FF2B5EF4-FFF2-40B4-BE49-F238E27FC236}">
              <a16:creationId xmlns:a16="http://schemas.microsoft.com/office/drawing/2014/main" id="{49899B75-989E-22EC-EF05-706959D32D6E}"/>
            </a:ext>
          </a:extLst>
        </xdr:cNvPr>
        <xdr:cNvSpPr txBox="1"/>
      </xdr:nvSpPr>
      <xdr:spPr>
        <a:xfrm>
          <a:off x="1098176" y="851646"/>
          <a:ext cx="10421471" cy="705971"/>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pPr algn="ctr"/>
          <a:r>
            <a:rPr lang="en-IN" sz="3600" b="1">
              <a:solidFill>
                <a:schemeClr val="tx1"/>
              </a:solidFill>
            </a:rPr>
            <a:t>Product</a:t>
          </a:r>
          <a:r>
            <a:rPr lang="en-IN" sz="3600" b="1" baseline="0">
              <a:solidFill>
                <a:schemeClr val="tx1"/>
              </a:solidFill>
            </a:rPr>
            <a:t> Analytics</a:t>
          </a:r>
        </a:p>
        <a:p>
          <a:endParaRPr lang="en-IN" sz="2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RAJ DESHMUKH" refreshedDate="45993.690044097224" createdVersion="8" refreshedVersion="8" minRefreshableVersion="3" recordCount="30" xr:uid="{5F201C4F-71AA-4A51-8CD1-109BD29E574F}">
  <cacheSource type="worksheet">
    <worksheetSource ref="A1:M31" sheet="Pivot_Table_3"/>
  </cacheSource>
  <cacheFields count="14">
    <cacheField name="Product Code" numFmtId="0">
      <sharedItems/>
    </cacheField>
    <cacheField name="Product Name" numFmtId="0">
      <sharedItems count="5">
        <s v="Dettol"/>
        <s v="Lux"/>
        <s v="Cello Pen"/>
        <s v="Print Paper"/>
        <s v="Pepsodent"/>
      </sharedItems>
    </cacheField>
    <cacheField name="Price/Unit" numFmtId="0">
      <sharedItems containsSemiMixedTypes="0" containsString="0" containsNumber="1" containsInteger="1" minValue="12" maxValue="150"/>
    </cacheField>
    <cacheField name="Basic Price" numFmtId="0">
      <sharedItems containsSemiMixedTypes="0" containsString="0" containsNumber="1" containsInteger="1" minValue="15" maxValue="160"/>
    </cacheField>
    <cacheField name="Month" numFmtId="0">
      <sharedItems count="6">
        <s v="Jan"/>
        <s v="Feb"/>
        <s v="Mar"/>
        <s v="Apr"/>
        <s v="Jun"/>
        <s v="Jul"/>
      </sharedItems>
    </cacheField>
    <cacheField name="Region" numFmtId="0">
      <sharedItems count="4">
        <s v="East"/>
        <s v="West"/>
        <s v="North"/>
        <s v="South"/>
      </sharedItems>
    </cacheField>
    <cacheField name="Area" numFmtId="0">
      <sharedItems/>
    </cacheField>
    <cacheField name="Territory" numFmtId="0">
      <sharedItems count="28">
        <s v="Dispur"/>
        <s v="Vadodara"/>
        <s v="Jammu"/>
        <s v="Bangalore"/>
        <s v="Shillong"/>
        <s v="Bikaner"/>
        <s v="Simla"/>
        <s v="Kochi"/>
        <s v="Imphal"/>
        <s v="Ajmer"/>
        <s v="Amrithsar"/>
        <s v="Chennai"/>
        <s v="Kohima"/>
        <s v="Ahmedabad"/>
        <s v="Nanital"/>
        <s v="Hyderabad"/>
        <s v="Agarthala"/>
        <s v="Mumbai"/>
        <s v="Delhi"/>
        <s v="Trichy"/>
        <s v="Nasik"/>
        <s v="Kapurthala"/>
        <s v="Warangal"/>
        <s v="Itanagar"/>
        <s v="Jaipur"/>
        <s v="Manali"/>
        <s v="Kollam"/>
        <s v="Bishnupur"/>
      </sharedItems>
    </cacheField>
    <cacheField name="Agent" numFmtId="0">
      <sharedItems/>
    </cacheField>
    <cacheField name="Units Sold" numFmtId="0">
      <sharedItems containsSemiMixedTypes="0" containsString="0" containsNumber="1" containsInteger="1" minValue="577" maxValue="9000" count="27">
        <n v="2000"/>
        <n v="1000"/>
        <n v="1200"/>
        <n v="1250"/>
        <n v="1300"/>
        <n v="1350"/>
        <n v="1400"/>
        <n v="9000"/>
        <n v="800"/>
        <n v="1700"/>
        <n v="650"/>
        <n v="780"/>
        <n v="820"/>
        <n v="850"/>
        <n v="980"/>
        <n v="900"/>
        <n v="656"/>
        <n v="985"/>
        <n v="658"/>
        <n v="657"/>
        <n v="895"/>
        <n v="856"/>
        <n v="896"/>
        <n v="577"/>
        <n v="987"/>
        <n v="897"/>
        <n v="852"/>
      </sharedItems>
      <fieldGroup base="9">
        <rangePr autoStart="0" startNum="1" endNum="9000" groupInterval="1000"/>
        <groupItems count="11">
          <s v="&lt;1"/>
          <s v="1-1000"/>
          <s v="1001-2000"/>
          <s v="2001-3000"/>
          <s v="3001-4000"/>
          <s v="4001-5000"/>
          <s v="5001-6000"/>
          <s v="6001-7000"/>
          <s v="7001-8000"/>
          <s v="8001-9000"/>
          <s v="&gt;9001"/>
        </groupItems>
      </fieldGroup>
    </cacheField>
    <cacheField name="Sales Value" numFmtId="0">
      <sharedItems containsSemiMixedTypes="0" containsString="0" containsNumber="1" containsInteger="1" minValue="9840" maxValue="200000" count="27">
        <n v="110000"/>
        <n v="20000"/>
        <n v="18000"/>
        <n v="200000"/>
        <n v="78000"/>
        <n v="74250"/>
        <n v="28000"/>
        <n v="135000"/>
        <n v="128000"/>
        <n v="102000"/>
        <n v="35750"/>
        <n v="15600"/>
        <n v="12300"/>
        <n v="124800"/>
        <n v="51000"/>
        <n v="53900"/>
        <n v="9840"/>
        <n v="157600"/>
        <n v="39480"/>
        <n v="36135"/>
        <n v="17900"/>
        <n v="12840"/>
        <n v="49280"/>
        <n v="11540"/>
        <n v="14805"/>
        <n v="143520"/>
        <n v="51120"/>
      </sharedItems>
      <fieldGroup base="10">
        <rangePr autoStart="0" startNum="1" endNum="200000" groupInterval="50000"/>
        <groupItems count="6">
          <s v="&lt;1"/>
          <s v="1-50000"/>
          <s v="50001-100000"/>
          <s v="100001-150000"/>
          <s v="150001-200000"/>
          <s v="&gt;200001"/>
        </groupItems>
      </fieldGroup>
    </cacheField>
    <cacheField name="Commission" numFmtId="0">
      <sharedItems containsSemiMixedTypes="0" containsString="0" containsNumber="1" minValue="492" maxValue="10000"/>
    </cacheField>
    <cacheField name="Profit" numFmtId="0">
      <sharedItems containsSemiMixedTypes="0" containsString="0" containsNumber="1" minValue="1462.5" maxValue="20250"/>
    </cacheField>
    <cacheField name="Cost Price" numFmtId="0" formula="'Price/Unit'*'Units Sold'" databaseField="0"/>
  </cacheFields>
  <extLst>
    <ext xmlns:x14="http://schemas.microsoft.com/office/spreadsheetml/2009/9/main" uri="{725AE2AE-9491-48be-B2B4-4EB974FC3084}">
      <x14:pivotCacheDefinition pivotCacheId="8765339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RAJ DESHMUKH" refreshedDate="45994.677432407407" createdVersion="8" refreshedVersion="8" minRefreshableVersion="3" recordCount="30" xr:uid="{EC99D7AC-972A-48B7-8E61-9B097DDD4CAD}">
  <cacheSource type="worksheet">
    <worksheetSource ref="A1:N31" sheet="Pivot_Table_3"/>
  </cacheSource>
  <cacheFields count="15">
    <cacheField name="Product Code" numFmtId="0">
      <sharedItems/>
    </cacheField>
    <cacheField name="Product Name" numFmtId="0">
      <sharedItems/>
    </cacheField>
    <cacheField name="Price/Unit" numFmtId="0">
      <sharedItems containsSemiMixedTypes="0" containsString="0" containsNumber="1" containsInteger="1" minValue="12" maxValue="150"/>
    </cacheField>
    <cacheField name="Basic Price" numFmtId="0">
      <sharedItems containsSemiMixedTypes="0" containsString="0" containsNumber="1" containsInteger="1" minValue="15" maxValue="160"/>
    </cacheField>
    <cacheField name="Month" numFmtId="0">
      <sharedItems/>
    </cacheField>
    <cacheField name="Region" numFmtId="0">
      <sharedItems count="4">
        <s v="East"/>
        <s v="West"/>
        <s v="North"/>
        <s v="South"/>
      </sharedItems>
    </cacheField>
    <cacheField name="Area" numFmtId="0">
      <sharedItems/>
    </cacheField>
    <cacheField name="Territory" numFmtId="0">
      <sharedItems/>
    </cacheField>
    <cacheField name="Agent" numFmtId="0">
      <sharedItems/>
    </cacheField>
    <cacheField name="Units Sold" numFmtId="0">
      <sharedItems containsSemiMixedTypes="0" containsString="0" containsNumber="1" containsInteger="1" minValue="577" maxValue="9000"/>
    </cacheField>
    <cacheField name="Sales Value" numFmtId="0">
      <sharedItems containsSemiMixedTypes="0" containsString="0" containsNumber="1" containsInteger="1" minValue="9840" maxValue="200000"/>
    </cacheField>
    <cacheField name="Commission" numFmtId="0">
      <sharedItems containsSemiMixedTypes="0" containsString="0" containsNumber="1" minValue="492" maxValue="10000"/>
    </cacheField>
    <cacheField name="Profit" numFmtId="0">
      <sharedItems containsSemiMixedTypes="0" containsString="0" containsNumber="1" minValue="1462.5" maxValue="20250"/>
    </cacheField>
    <cacheField name="Units Sold_1" numFmtId="0">
      <sharedItems containsSemiMixedTypes="0" containsString="0" containsNumber="1" containsInteger="1" minValue="577" maxValue="9000"/>
    </cacheField>
    <cacheField name="Cost Price" numFmtId="0" formula="'Price/Unit'*'Units Sold_1'"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C019"/>
    <x v="0"/>
    <n v="50"/>
    <n v="55"/>
    <x v="0"/>
    <x v="0"/>
    <s v="Assam"/>
    <x v="0"/>
    <s v="ABC"/>
    <x v="0"/>
    <x v="0"/>
    <n v="5500"/>
    <n v="4500"/>
  </r>
  <r>
    <s v="PC001"/>
    <x v="1"/>
    <n v="15"/>
    <n v="20"/>
    <x v="0"/>
    <x v="1"/>
    <s v="Gujarat"/>
    <x v="1"/>
    <s v="GTC"/>
    <x v="1"/>
    <x v="1"/>
    <n v="1000"/>
    <n v="4000"/>
  </r>
  <r>
    <s v="PC003"/>
    <x v="2"/>
    <n v="12"/>
    <n v="15"/>
    <x v="0"/>
    <x v="2"/>
    <s v="J&amp;K"/>
    <x v="2"/>
    <s v="JKTC"/>
    <x v="2"/>
    <x v="2"/>
    <n v="900"/>
    <n v="2700"/>
  </r>
  <r>
    <s v="PC043"/>
    <x v="3"/>
    <n v="150"/>
    <n v="160"/>
    <x v="0"/>
    <x v="3"/>
    <s v="Karnataka"/>
    <x v="3"/>
    <s v="KATC"/>
    <x v="3"/>
    <x v="3"/>
    <n v="10000"/>
    <n v="2500"/>
  </r>
  <r>
    <s v="PC021"/>
    <x v="4"/>
    <n v="50"/>
    <n v="60"/>
    <x v="0"/>
    <x v="0"/>
    <s v="Meghalaya"/>
    <x v="4"/>
    <s v="MTC"/>
    <x v="4"/>
    <x v="4"/>
    <n v="3900"/>
    <n v="9100"/>
  </r>
  <r>
    <s v="PC019"/>
    <x v="0"/>
    <n v="50"/>
    <n v="55"/>
    <x v="1"/>
    <x v="1"/>
    <s v="Rajesthan"/>
    <x v="5"/>
    <s v="RTC"/>
    <x v="5"/>
    <x v="5"/>
    <n v="3712.5"/>
    <n v="3037.5"/>
  </r>
  <r>
    <s v="PC001"/>
    <x v="1"/>
    <n v="15"/>
    <n v="20"/>
    <x v="1"/>
    <x v="2"/>
    <s v="HP"/>
    <x v="6"/>
    <s v="HPTC"/>
    <x v="6"/>
    <x v="6"/>
    <n v="1400"/>
    <n v="5600"/>
  </r>
  <r>
    <s v="PC003"/>
    <x v="2"/>
    <n v="12"/>
    <n v="15"/>
    <x v="1"/>
    <x v="3"/>
    <s v="Kerala"/>
    <x v="7"/>
    <s v="KETC"/>
    <x v="7"/>
    <x v="7"/>
    <n v="6750"/>
    <n v="20250"/>
  </r>
  <r>
    <s v="PC043"/>
    <x v="3"/>
    <n v="150"/>
    <n v="160"/>
    <x v="1"/>
    <x v="0"/>
    <s v="Manipur"/>
    <x v="8"/>
    <s v="MATC"/>
    <x v="8"/>
    <x v="8"/>
    <n v="6400"/>
    <n v="1600"/>
  </r>
  <r>
    <s v="PC021"/>
    <x v="4"/>
    <n v="50"/>
    <n v="60"/>
    <x v="1"/>
    <x v="1"/>
    <s v="Rajesthan"/>
    <x v="9"/>
    <s v="RTC"/>
    <x v="9"/>
    <x v="9"/>
    <n v="5100"/>
    <n v="11900"/>
  </r>
  <r>
    <s v="PC019"/>
    <x v="0"/>
    <n v="50"/>
    <n v="55"/>
    <x v="2"/>
    <x v="2"/>
    <s v="Punjab"/>
    <x v="10"/>
    <s v="PTC"/>
    <x v="10"/>
    <x v="10"/>
    <n v="1787.5"/>
    <n v="1462.5"/>
  </r>
  <r>
    <s v="PC001"/>
    <x v="1"/>
    <n v="15"/>
    <n v="20"/>
    <x v="2"/>
    <x v="3"/>
    <s v="TN"/>
    <x v="11"/>
    <s v="TNTC"/>
    <x v="11"/>
    <x v="11"/>
    <n v="780"/>
    <n v="3120"/>
  </r>
  <r>
    <s v="PC003"/>
    <x v="2"/>
    <n v="12"/>
    <n v="15"/>
    <x v="2"/>
    <x v="0"/>
    <s v="Nagaland"/>
    <x v="12"/>
    <s v="NTC"/>
    <x v="12"/>
    <x v="12"/>
    <n v="615"/>
    <n v="1845"/>
  </r>
  <r>
    <s v="PC043"/>
    <x v="3"/>
    <n v="150"/>
    <n v="160"/>
    <x v="2"/>
    <x v="1"/>
    <s v="Gujarat"/>
    <x v="13"/>
    <s v="GTC"/>
    <x v="11"/>
    <x v="13"/>
    <n v="6240"/>
    <n v="1560"/>
  </r>
  <r>
    <s v="PC021"/>
    <x v="4"/>
    <n v="50"/>
    <n v="60"/>
    <x v="2"/>
    <x v="2"/>
    <s v="Uttaranchal"/>
    <x v="14"/>
    <s v="UTC"/>
    <x v="13"/>
    <x v="14"/>
    <n v="2550"/>
    <n v="5950"/>
  </r>
  <r>
    <s v="PC019"/>
    <x v="0"/>
    <n v="50"/>
    <n v="55"/>
    <x v="3"/>
    <x v="3"/>
    <s v="AP"/>
    <x v="15"/>
    <s v="APTC"/>
    <x v="14"/>
    <x v="15"/>
    <n v="2695"/>
    <n v="2205"/>
  </r>
  <r>
    <s v="PC001"/>
    <x v="1"/>
    <n v="15"/>
    <n v="20"/>
    <x v="3"/>
    <x v="0"/>
    <s v="Tripura"/>
    <x v="16"/>
    <s v="TTC"/>
    <x v="15"/>
    <x v="2"/>
    <n v="900"/>
    <n v="3600"/>
  </r>
  <r>
    <s v="PC003"/>
    <x v="2"/>
    <n v="12"/>
    <n v="15"/>
    <x v="3"/>
    <x v="1"/>
    <s v="Maharastra"/>
    <x v="17"/>
    <s v="MHTC"/>
    <x v="16"/>
    <x v="16"/>
    <n v="492"/>
    <n v="1476"/>
  </r>
  <r>
    <s v="PC043"/>
    <x v="3"/>
    <n v="150"/>
    <n v="160"/>
    <x v="3"/>
    <x v="2"/>
    <s v="Delhi"/>
    <x v="18"/>
    <s v="DTC"/>
    <x v="17"/>
    <x v="17"/>
    <n v="7880"/>
    <n v="1970"/>
  </r>
  <r>
    <s v="PC021"/>
    <x v="4"/>
    <n v="50"/>
    <n v="60"/>
    <x v="3"/>
    <x v="3"/>
    <s v="TN"/>
    <x v="19"/>
    <s v="TNTC"/>
    <x v="18"/>
    <x v="18"/>
    <n v="1974"/>
    <n v="4606"/>
  </r>
  <r>
    <s v="PC019"/>
    <x v="0"/>
    <n v="50"/>
    <n v="55"/>
    <x v="4"/>
    <x v="0"/>
    <s v="Tripura"/>
    <x v="16"/>
    <s v="TRTC"/>
    <x v="19"/>
    <x v="19"/>
    <n v="1806.75"/>
    <n v="1478.25"/>
  </r>
  <r>
    <s v="PC001"/>
    <x v="1"/>
    <n v="15"/>
    <n v="20"/>
    <x v="4"/>
    <x v="1"/>
    <s v="Maharastra"/>
    <x v="20"/>
    <s v="MHTC"/>
    <x v="20"/>
    <x v="20"/>
    <n v="895"/>
    <n v="3580"/>
  </r>
  <r>
    <s v="PC003"/>
    <x v="2"/>
    <n v="12"/>
    <n v="15"/>
    <x v="4"/>
    <x v="2"/>
    <s v="Punjab"/>
    <x v="21"/>
    <s v="PTC"/>
    <x v="21"/>
    <x v="21"/>
    <n v="642"/>
    <n v="1926"/>
  </r>
  <r>
    <s v="PC043"/>
    <x v="3"/>
    <n v="150"/>
    <n v="160"/>
    <x v="4"/>
    <x v="3"/>
    <s v="AP"/>
    <x v="22"/>
    <s v="APTC"/>
    <x v="17"/>
    <x v="17"/>
    <n v="7880"/>
    <n v="1970"/>
  </r>
  <r>
    <s v="PC021"/>
    <x v="4"/>
    <n v="50"/>
    <n v="60"/>
    <x v="4"/>
    <x v="0"/>
    <s v="Arunachal Pradesh"/>
    <x v="23"/>
    <s v="ARTC"/>
    <x v="18"/>
    <x v="18"/>
    <n v="1974"/>
    <n v="4606"/>
  </r>
  <r>
    <s v="PC019"/>
    <x v="0"/>
    <n v="50"/>
    <n v="55"/>
    <x v="5"/>
    <x v="1"/>
    <s v="Rajesthan"/>
    <x v="24"/>
    <s v="RTC"/>
    <x v="22"/>
    <x v="22"/>
    <n v="2464"/>
    <n v="2016"/>
  </r>
  <r>
    <s v="PC001"/>
    <x v="1"/>
    <n v="15"/>
    <n v="20"/>
    <x v="5"/>
    <x v="2"/>
    <s v="HP"/>
    <x v="25"/>
    <s v="HPTC"/>
    <x v="23"/>
    <x v="23"/>
    <n v="577"/>
    <n v="2308"/>
  </r>
  <r>
    <s v="PC003"/>
    <x v="2"/>
    <n v="12"/>
    <n v="15"/>
    <x v="5"/>
    <x v="3"/>
    <s v="Kerala"/>
    <x v="26"/>
    <s v="KETC"/>
    <x v="24"/>
    <x v="24"/>
    <n v="740.25"/>
    <n v="2220.75"/>
  </r>
  <r>
    <s v="PC043"/>
    <x v="3"/>
    <n v="150"/>
    <n v="160"/>
    <x v="5"/>
    <x v="0"/>
    <s v="Manipur"/>
    <x v="27"/>
    <s v="MATC"/>
    <x v="25"/>
    <x v="25"/>
    <n v="7176"/>
    <n v="1794"/>
  </r>
  <r>
    <s v="PC021"/>
    <x v="4"/>
    <n v="50"/>
    <n v="60"/>
    <x v="5"/>
    <x v="1"/>
    <s v="Rajesthan"/>
    <x v="24"/>
    <s v="RTC"/>
    <x v="26"/>
    <x v="26"/>
    <n v="2556"/>
    <n v="596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PC019"/>
    <s v="Dettol"/>
    <n v="50"/>
    <n v="55"/>
    <s v="Jan"/>
    <x v="0"/>
    <s v="Assam"/>
    <s v="Dispur"/>
    <s v="ABC"/>
    <n v="2000"/>
    <n v="110000"/>
    <n v="5500"/>
    <n v="4500"/>
    <n v="2000"/>
  </r>
  <r>
    <s v="PC001"/>
    <s v="Lux"/>
    <n v="15"/>
    <n v="20"/>
    <s v="Jan"/>
    <x v="1"/>
    <s v="Gujarat"/>
    <s v="Vadodara"/>
    <s v="GTC"/>
    <n v="1000"/>
    <n v="20000"/>
    <n v="1000"/>
    <n v="4000"/>
    <n v="1000"/>
  </r>
  <r>
    <s v="PC003"/>
    <s v="Cello Pen"/>
    <n v="12"/>
    <n v="15"/>
    <s v="Jan"/>
    <x v="2"/>
    <s v="J&amp;K"/>
    <s v="Jammu"/>
    <s v="JKTC"/>
    <n v="1200"/>
    <n v="18000"/>
    <n v="900"/>
    <n v="2700"/>
    <n v="1200"/>
  </r>
  <r>
    <s v="PC043"/>
    <s v="Print Paper"/>
    <n v="150"/>
    <n v="160"/>
    <s v="Jan"/>
    <x v="3"/>
    <s v="Karnataka"/>
    <s v="Bangalore"/>
    <s v="KATC"/>
    <n v="1250"/>
    <n v="200000"/>
    <n v="10000"/>
    <n v="2500"/>
    <n v="1250"/>
  </r>
  <r>
    <s v="PC021"/>
    <s v="Pepsodent"/>
    <n v="50"/>
    <n v="60"/>
    <s v="Jan"/>
    <x v="0"/>
    <s v="Meghalaya"/>
    <s v="Shillong"/>
    <s v="MTC"/>
    <n v="1300"/>
    <n v="78000"/>
    <n v="3900"/>
    <n v="9100"/>
    <n v="1300"/>
  </r>
  <r>
    <s v="PC019"/>
    <s v="Dettol"/>
    <n v="50"/>
    <n v="55"/>
    <s v="Feb"/>
    <x v="1"/>
    <s v="Rajesthan"/>
    <s v="Bikaner"/>
    <s v="RTC"/>
    <n v="1350"/>
    <n v="74250"/>
    <n v="3712.5"/>
    <n v="3037.5"/>
    <n v="1350"/>
  </r>
  <r>
    <s v="PC001"/>
    <s v="Lux"/>
    <n v="15"/>
    <n v="20"/>
    <s v="Feb"/>
    <x v="2"/>
    <s v="HP"/>
    <s v="Simla"/>
    <s v="HPTC"/>
    <n v="1400"/>
    <n v="28000"/>
    <n v="1400"/>
    <n v="5600"/>
    <n v="1400"/>
  </r>
  <r>
    <s v="PC003"/>
    <s v="Cello Pen"/>
    <n v="12"/>
    <n v="15"/>
    <s v="Feb"/>
    <x v="3"/>
    <s v="Kerala"/>
    <s v="Kochi"/>
    <s v="KETC"/>
    <n v="9000"/>
    <n v="135000"/>
    <n v="6750"/>
    <n v="20250"/>
    <n v="9000"/>
  </r>
  <r>
    <s v="PC043"/>
    <s v="Print Paper"/>
    <n v="150"/>
    <n v="160"/>
    <s v="Feb"/>
    <x v="0"/>
    <s v="Manipur"/>
    <s v="Imphal"/>
    <s v="MATC"/>
    <n v="800"/>
    <n v="128000"/>
    <n v="6400"/>
    <n v="1600"/>
    <n v="800"/>
  </r>
  <r>
    <s v="PC021"/>
    <s v="Pepsodent"/>
    <n v="50"/>
    <n v="60"/>
    <s v="Feb"/>
    <x v="1"/>
    <s v="Rajesthan"/>
    <s v="Ajmer"/>
    <s v="RTC"/>
    <n v="1700"/>
    <n v="102000"/>
    <n v="5100"/>
    <n v="11900"/>
    <n v="1700"/>
  </r>
  <r>
    <s v="PC019"/>
    <s v="Dettol"/>
    <n v="50"/>
    <n v="55"/>
    <s v="Mar"/>
    <x v="2"/>
    <s v="Punjab"/>
    <s v="Amrithsar"/>
    <s v="PTC"/>
    <n v="650"/>
    <n v="35750"/>
    <n v="1787.5"/>
    <n v="1462.5"/>
    <n v="650"/>
  </r>
  <r>
    <s v="PC001"/>
    <s v="Lux"/>
    <n v="15"/>
    <n v="20"/>
    <s v="Mar"/>
    <x v="3"/>
    <s v="TN"/>
    <s v="Chennai"/>
    <s v="TNTC"/>
    <n v="780"/>
    <n v="15600"/>
    <n v="780"/>
    <n v="3120"/>
    <n v="780"/>
  </r>
  <r>
    <s v="PC003"/>
    <s v="Cello Pen"/>
    <n v="12"/>
    <n v="15"/>
    <s v="Mar"/>
    <x v="0"/>
    <s v="Nagaland"/>
    <s v="Kohima"/>
    <s v="NTC"/>
    <n v="820"/>
    <n v="12300"/>
    <n v="615"/>
    <n v="1845"/>
    <n v="820"/>
  </r>
  <r>
    <s v="PC043"/>
    <s v="Print Paper"/>
    <n v="150"/>
    <n v="160"/>
    <s v="Mar"/>
    <x v="1"/>
    <s v="Gujarat"/>
    <s v="Ahmedabad"/>
    <s v="GTC"/>
    <n v="780"/>
    <n v="124800"/>
    <n v="6240"/>
    <n v="1560"/>
    <n v="780"/>
  </r>
  <r>
    <s v="PC021"/>
    <s v="Pepsodent"/>
    <n v="50"/>
    <n v="60"/>
    <s v="Mar"/>
    <x v="2"/>
    <s v="Uttaranchal"/>
    <s v="Nanital"/>
    <s v="UTC"/>
    <n v="850"/>
    <n v="51000"/>
    <n v="2550"/>
    <n v="5950"/>
    <n v="850"/>
  </r>
  <r>
    <s v="PC019"/>
    <s v="Dettol"/>
    <n v="50"/>
    <n v="55"/>
    <s v="Apr"/>
    <x v="3"/>
    <s v="AP"/>
    <s v="Hyderabad"/>
    <s v="APTC"/>
    <n v="980"/>
    <n v="53900"/>
    <n v="2695"/>
    <n v="2205"/>
    <n v="980"/>
  </r>
  <r>
    <s v="PC001"/>
    <s v="Lux"/>
    <n v="15"/>
    <n v="20"/>
    <s v="Apr"/>
    <x v="0"/>
    <s v="Tripura"/>
    <s v="Agarthala"/>
    <s v="TTC"/>
    <n v="900"/>
    <n v="18000"/>
    <n v="900"/>
    <n v="3600"/>
    <n v="900"/>
  </r>
  <r>
    <s v="PC003"/>
    <s v="Cello Pen"/>
    <n v="12"/>
    <n v="15"/>
    <s v="Apr"/>
    <x v="1"/>
    <s v="Maharastra"/>
    <s v="Mumbai"/>
    <s v="MHTC"/>
    <n v="656"/>
    <n v="9840"/>
    <n v="492"/>
    <n v="1476"/>
    <n v="656"/>
  </r>
  <r>
    <s v="PC043"/>
    <s v="Print Paper"/>
    <n v="150"/>
    <n v="160"/>
    <s v="Apr"/>
    <x v="2"/>
    <s v="Delhi"/>
    <s v="Delhi"/>
    <s v="DTC"/>
    <n v="985"/>
    <n v="157600"/>
    <n v="7880"/>
    <n v="1970"/>
    <n v="985"/>
  </r>
  <r>
    <s v="PC021"/>
    <s v="Pepsodent"/>
    <n v="50"/>
    <n v="60"/>
    <s v="Apr"/>
    <x v="3"/>
    <s v="TN"/>
    <s v="Trichy"/>
    <s v="TNTC"/>
    <n v="658"/>
    <n v="39480"/>
    <n v="1974"/>
    <n v="4606"/>
    <n v="658"/>
  </r>
  <r>
    <s v="PC019"/>
    <s v="Dettol"/>
    <n v="50"/>
    <n v="55"/>
    <s v="Jun"/>
    <x v="0"/>
    <s v="Tripura"/>
    <s v="Agarthala"/>
    <s v="TRTC"/>
    <n v="657"/>
    <n v="36135"/>
    <n v="1806.75"/>
    <n v="1478.25"/>
    <n v="657"/>
  </r>
  <r>
    <s v="PC001"/>
    <s v="Lux"/>
    <n v="15"/>
    <n v="20"/>
    <s v="Jun"/>
    <x v="1"/>
    <s v="Maharastra"/>
    <s v="Nasik"/>
    <s v="MHTC"/>
    <n v="895"/>
    <n v="17900"/>
    <n v="895"/>
    <n v="3580"/>
    <n v="895"/>
  </r>
  <r>
    <s v="PC003"/>
    <s v="Cello Pen"/>
    <n v="12"/>
    <n v="15"/>
    <s v="Jun"/>
    <x v="2"/>
    <s v="Punjab"/>
    <s v="Kapurthala"/>
    <s v="PTC"/>
    <n v="856"/>
    <n v="12840"/>
    <n v="642"/>
    <n v="1926"/>
    <n v="856"/>
  </r>
  <r>
    <s v="PC043"/>
    <s v="Print Paper"/>
    <n v="150"/>
    <n v="160"/>
    <s v="Jun"/>
    <x v="3"/>
    <s v="AP"/>
    <s v="Warangal"/>
    <s v="APTC"/>
    <n v="985"/>
    <n v="157600"/>
    <n v="7880"/>
    <n v="1970"/>
    <n v="985"/>
  </r>
  <r>
    <s v="PC021"/>
    <s v="Pepsodent"/>
    <n v="50"/>
    <n v="60"/>
    <s v="Jun"/>
    <x v="0"/>
    <s v="Arunachal Pradesh"/>
    <s v="Itanagar"/>
    <s v="ARTC"/>
    <n v="658"/>
    <n v="39480"/>
    <n v="1974"/>
    <n v="4606"/>
    <n v="658"/>
  </r>
  <r>
    <s v="PC019"/>
    <s v="Dettol"/>
    <n v="50"/>
    <n v="55"/>
    <s v="Jul"/>
    <x v="1"/>
    <s v="Rajesthan"/>
    <s v="Jaipur"/>
    <s v="RTC"/>
    <n v="896"/>
    <n v="49280"/>
    <n v="2464"/>
    <n v="2016"/>
    <n v="896"/>
  </r>
  <r>
    <s v="PC001"/>
    <s v="Lux"/>
    <n v="15"/>
    <n v="20"/>
    <s v="Jul"/>
    <x v="2"/>
    <s v="HP"/>
    <s v="Manali"/>
    <s v="HPTC"/>
    <n v="577"/>
    <n v="11540"/>
    <n v="577"/>
    <n v="2308"/>
    <n v="577"/>
  </r>
  <r>
    <s v="PC003"/>
    <s v="Cello Pen"/>
    <n v="12"/>
    <n v="15"/>
    <s v="Jul"/>
    <x v="3"/>
    <s v="Kerala"/>
    <s v="Kollam"/>
    <s v="KETC"/>
    <n v="987"/>
    <n v="14805"/>
    <n v="740.25"/>
    <n v="2220.75"/>
    <n v="987"/>
  </r>
  <r>
    <s v="PC043"/>
    <s v="Print Paper"/>
    <n v="150"/>
    <n v="160"/>
    <s v="Jul"/>
    <x v="0"/>
    <s v="Manipur"/>
    <s v="Bishnupur"/>
    <s v="MATC"/>
    <n v="897"/>
    <n v="143520"/>
    <n v="7176"/>
    <n v="1794"/>
    <n v="897"/>
  </r>
  <r>
    <s v="PC021"/>
    <s v="Pepsodent"/>
    <n v="50"/>
    <n v="60"/>
    <s v="Jul"/>
    <x v="1"/>
    <s v="Rajesthan"/>
    <s v="Jaipur"/>
    <s v="RTC"/>
    <n v="852"/>
    <n v="51120"/>
    <n v="2556"/>
    <n v="5964"/>
    <n v="8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73AB63-346D-4CB8-874C-B5D73B8EF0F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4">
    <pivotField showAll="0"/>
    <pivotField showAll="0"/>
    <pivotField showAll="0"/>
    <pivotField showAll="0"/>
    <pivotField showAll="0">
      <items count="7">
        <item x="0"/>
        <item x="1"/>
        <item x="2"/>
        <item x="3"/>
        <item x="4"/>
        <item x="5"/>
        <item t="default"/>
      </items>
    </pivotField>
    <pivotField showAll="0"/>
    <pivotField showAll="0"/>
    <pivotField showAll="0">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showAll="0">
      <items count="12">
        <item x="0"/>
        <item x="1"/>
        <item x="2"/>
        <item x="3"/>
        <item x="4"/>
        <item x="5"/>
        <item x="6"/>
        <item x="7"/>
        <item x="8"/>
        <item x="9"/>
        <item x="10"/>
        <item t="default"/>
      </items>
    </pivotField>
    <pivotField axis="axisRow" showAll="0">
      <items count="7">
        <item x="0"/>
        <item x="1"/>
        <item x="2"/>
        <item x="3"/>
        <item x="4"/>
        <item x="5"/>
        <item t="default"/>
      </items>
    </pivotField>
    <pivotField showAll="0"/>
    <pivotField dataField="1" showAll="0"/>
    <pivotField dragToRow="0" dragToCol="0" dragToPage="0" showAll="0" defaultSubtotal="0"/>
  </pivotFields>
  <rowFields count="1">
    <field x="10"/>
  </rowFields>
  <rowItems count="5">
    <i>
      <x v="1"/>
    </i>
    <i>
      <x v="2"/>
    </i>
    <i>
      <x v="3"/>
    </i>
    <i>
      <x v="4"/>
    </i>
    <i t="grand">
      <x/>
    </i>
  </rowItems>
  <colItems count="1">
    <i/>
  </colItems>
  <dataFields count="1">
    <dataField name="Sum of Profit" fld="12" baseField="0" baseItem="0"/>
  </dataFields>
  <chartFormats count="10">
    <chartFormat chart="3" format="0"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10" count="1" selected="0">
            <x v="2"/>
          </reference>
        </references>
      </pivotArea>
    </chartFormat>
    <chartFormat chart="3" format="28">
      <pivotArea type="data" outline="0" fieldPosition="0">
        <references count="2">
          <reference field="4294967294" count="1" selected="0">
            <x v="0"/>
          </reference>
          <reference field="10" count="1" selected="0">
            <x v="3"/>
          </reference>
        </references>
      </pivotArea>
    </chartFormat>
    <chartFormat chart="3" format="29">
      <pivotArea type="data" outline="0" fieldPosition="0">
        <references count="2">
          <reference field="4294967294" count="1" selected="0">
            <x v="0"/>
          </reference>
          <reference field="10" count="1" selected="0">
            <x v="1"/>
          </reference>
        </references>
      </pivotArea>
    </chartFormat>
    <chartFormat chart="3" format="30">
      <pivotArea type="data" outline="0" fieldPosition="0">
        <references count="2">
          <reference field="4294967294" count="1" selected="0">
            <x v="0"/>
          </reference>
          <reference field="10" count="1" selected="0">
            <x v="4"/>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10" count="1" selected="0">
            <x v="1"/>
          </reference>
        </references>
      </pivotArea>
    </chartFormat>
    <chartFormat chart="6" format="43">
      <pivotArea type="data" outline="0" fieldPosition="0">
        <references count="2">
          <reference field="4294967294" count="1" selected="0">
            <x v="0"/>
          </reference>
          <reference field="10" count="1" selected="0">
            <x v="2"/>
          </reference>
        </references>
      </pivotArea>
    </chartFormat>
    <chartFormat chart="6" format="44">
      <pivotArea type="data" outline="0" fieldPosition="0">
        <references count="2">
          <reference field="4294967294" count="1" selected="0">
            <x v="0"/>
          </reference>
          <reference field="10" count="1" selected="0">
            <x v="3"/>
          </reference>
        </references>
      </pivotArea>
    </chartFormat>
    <chartFormat chart="6" format="4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4CAD3-4AD4-48B7-86F6-3A872805F92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showAll="0"/>
    <pivotField showAll="0"/>
    <pivotField showAll="0"/>
    <pivotField showAll="0"/>
    <pivotField axis="axisRow" showAll="0">
      <items count="5">
        <item x="0"/>
        <item x="2"/>
        <item x="3"/>
        <item x="1"/>
        <item t="default"/>
      </items>
    </pivotField>
    <pivotField showAll="0"/>
    <pivotField showAll="0">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dataField="1" showAll="0"/>
    <pivotField showAll="0"/>
    <pivotField showAll="0"/>
    <pivotField showAll="0"/>
    <pivotField dragToRow="0" dragToCol="0" dragToPage="0" showAll="0" defaultSubtotal="0"/>
  </pivotFields>
  <rowFields count="1">
    <field x="5"/>
  </rowFields>
  <rowItems count="5">
    <i>
      <x/>
    </i>
    <i>
      <x v="1"/>
    </i>
    <i>
      <x v="2"/>
    </i>
    <i>
      <x v="3"/>
    </i>
    <i t="grand">
      <x/>
    </i>
  </rowItems>
  <colItems count="1">
    <i/>
  </colItems>
  <dataFields count="1">
    <dataField name="Sum of Units Sold" fld="9" baseField="5" baseItem="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2" format="4">
      <pivotArea type="data" outline="0" fieldPosition="0">
        <references count="2">
          <reference field="4294967294" count="1" selected="0">
            <x v="0"/>
          </reference>
          <reference field="5" count="1" selected="0">
            <x v="3"/>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5" count="1" selected="0">
            <x v="0"/>
          </reference>
        </references>
      </pivotArea>
    </chartFormat>
    <chartFormat chart="4" format="17">
      <pivotArea type="data" outline="0" fieldPosition="0">
        <references count="2">
          <reference field="4294967294" count="1" selected="0">
            <x v="0"/>
          </reference>
          <reference field="5" count="1" selected="0">
            <x v="1"/>
          </reference>
        </references>
      </pivotArea>
    </chartFormat>
    <chartFormat chart="4" format="18">
      <pivotArea type="data" outline="0" fieldPosition="0">
        <references count="2">
          <reference field="4294967294" count="1" selected="0">
            <x v="0"/>
          </reference>
          <reference field="5" count="1" selected="0">
            <x v="2"/>
          </reference>
        </references>
      </pivotArea>
    </chartFormat>
    <chartFormat chart="4" format="19">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09249-4689-441C-A986-BFD75AA075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4">
    <pivotField showAll="0"/>
    <pivotField axis="axisRow" showAll="0">
      <items count="6">
        <item x="2"/>
        <item x="0"/>
        <item x="1"/>
        <item x="4"/>
        <item x="3"/>
        <item t="default"/>
      </items>
    </pivotField>
    <pivotField showAll="0"/>
    <pivotField showAll="0"/>
    <pivotField showAll="0"/>
    <pivotField showAll="0"/>
    <pivotField showAll="0"/>
    <pivotField showAll="0">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showAll="0"/>
    <pivotField showAll="0"/>
    <pivotField showAll="0"/>
    <pivotField dataField="1" showAll="0"/>
    <pivotField dragToRow="0" dragToCol="0" dragToPage="0" showAll="0" defaultSubtotal="0"/>
  </pivotFields>
  <rowFields count="1">
    <field x="1"/>
  </rowFields>
  <rowItems count="6">
    <i>
      <x/>
    </i>
    <i>
      <x v="1"/>
    </i>
    <i>
      <x v="2"/>
    </i>
    <i>
      <x v="3"/>
    </i>
    <i>
      <x v="4"/>
    </i>
    <i t="grand">
      <x/>
    </i>
  </rowItems>
  <colItems count="1">
    <i/>
  </colItems>
  <dataFields count="1">
    <dataField name="Sum of Profit" fld="12"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4"/>
          </reference>
        </references>
      </pivotArea>
    </chartFormat>
    <chartFormat chart="1" format="2">
      <pivotArea type="data" outline="0" fieldPosition="0">
        <references count="2">
          <reference field="4294967294" count="1" selected="0">
            <x v="0"/>
          </reference>
          <reference field="1" count="1" selected="0">
            <x v="3"/>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1"/>
          </reference>
        </references>
      </pivotArea>
    </chartFormat>
    <chartFormat chart="1" format="5">
      <pivotArea type="data" outline="0" fieldPosition="0">
        <references count="2">
          <reference field="4294967294" count="1" selected="0">
            <x v="0"/>
          </reference>
          <reference field="1" count="1" selected="0">
            <x v="0"/>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 count="1" selected="0">
            <x v="0"/>
          </reference>
        </references>
      </pivotArea>
    </chartFormat>
    <chartFormat chart="3" format="20">
      <pivotArea type="data" outline="0" fieldPosition="0">
        <references count="2">
          <reference field="4294967294" count="1" selected="0">
            <x v="0"/>
          </reference>
          <reference field="1" count="1" selected="0">
            <x v="1"/>
          </reference>
        </references>
      </pivotArea>
    </chartFormat>
    <chartFormat chart="3" format="21">
      <pivotArea type="data" outline="0" fieldPosition="0">
        <references count="2">
          <reference field="4294967294" count="1" selected="0">
            <x v="0"/>
          </reference>
          <reference field="1" count="1" selected="0">
            <x v="2"/>
          </reference>
        </references>
      </pivotArea>
    </chartFormat>
    <chartFormat chart="3" format="22">
      <pivotArea type="data" outline="0" fieldPosition="0">
        <references count="2">
          <reference field="4294967294" count="1" selected="0">
            <x v="0"/>
          </reference>
          <reference field="1" count="1" selected="0">
            <x v="3"/>
          </reference>
        </references>
      </pivotArea>
    </chartFormat>
    <chartFormat chart="3" format="2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9506BA-454E-40C1-96B1-619CFDE938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0" firstHeaderRow="1" firstDataRow="1" firstDataCol="1"/>
  <pivotFields count="14">
    <pivotField showAll="0"/>
    <pivotField showAll="0"/>
    <pivotField showAll="0"/>
    <pivotField showAll="0"/>
    <pivotField axis="axisRow" showAll="0">
      <items count="7">
        <item x="0"/>
        <item x="1"/>
        <item x="2"/>
        <item x="3"/>
        <item x="4"/>
        <item x="5"/>
        <item t="default"/>
      </items>
    </pivotField>
    <pivotField showAll="0"/>
    <pivotField showAll="0"/>
    <pivotField showAll="0">
      <items count="29">
        <item x="16"/>
        <item x="13"/>
        <item x="9"/>
        <item x="10"/>
        <item x="3"/>
        <item x="5"/>
        <item x="27"/>
        <item x="11"/>
        <item x="18"/>
        <item x="0"/>
        <item x="15"/>
        <item x="8"/>
        <item x="23"/>
        <item x="24"/>
        <item x="2"/>
        <item x="21"/>
        <item x="7"/>
        <item x="12"/>
        <item x="26"/>
        <item x="25"/>
        <item x="17"/>
        <item x="14"/>
        <item x="20"/>
        <item x="4"/>
        <item x="6"/>
        <item x="19"/>
        <item x="1"/>
        <item x="22"/>
        <item t="default"/>
      </items>
    </pivotField>
    <pivotField showAll="0"/>
    <pivotField showAll="0"/>
    <pivotField showAll="0"/>
    <pivotField showAll="0"/>
    <pivotField dataField="1" showAll="0"/>
    <pivotField dragToRow="0" dragToCol="0" dragToPage="0" showAll="0" defaultSubtotal="0"/>
  </pivotFields>
  <rowFields count="1">
    <field x="4"/>
  </rowFields>
  <rowItems count="7">
    <i>
      <x/>
    </i>
    <i>
      <x v="1"/>
    </i>
    <i>
      <x v="2"/>
    </i>
    <i>
      <x v="3"/>
    </i>
    <i>
      <x v="4"/>
    </i>
    <i>
      <x v="5"/>
    </i>
    <i t="grand">
      <x/>
    </i>
  </rowItems>
  <colItems count="1">
    <i/>
  </colItems>
  <dataFields count="1">
    <dataField name="Sum of Profit" fld="12" baseField="0" baseItem="0"/>
  </dataFields>
  <chartFormats count="1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5"/>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4" count="1" selected="0">
            <x v="0"/>
          </reference>
        </references>
      </pivotArea>
    </chartFormat>
    <chartFormat chart="10" format="16">
      <pivotArea type="data" outline="0" fieldPosition="0">
        <references count="2">
          <reference field="4294967294" count="1" selected="0">
            <x v="0"/>
          </reference>
          <reference field="4" count="1" selected="0">
            <x v="1"/>
          </reference>
        </references>
      </pivotArea>
    </chartFormat>
    <chartFormat chart="10" format="17">
      <pivotArea type="data" outline="0" fieldPosition="0">
        <references count="2">
          <reference field="4294967294" count="1" selected="0">
            <x v="0"/>
          </reference>
          <reference field="4" count="1" selected="0">
            <x v="2"/>
          </reference>
        </references>
      </pivotArea>
    </chartFormat>
    <chartFormat chart="10" format="18">
      <pivotArea type="data" outline="0" fieldPosition="0">
        <references count="2">
          <reference field="4294967294" count="1" selected="0">
            <x v="0"/>
          </reference>
          <reference field="4" count="1" selected="0">
            <x v="3"/>
          </reference>
        </references>
      </pivotArea>
    </chartFormat>
    <chartFormat chart="10" format="19">
      <pivotArea type="data" outline="0" fieldPosition="0">
        <references count="2">
          <reference field="4294967294" count="1" selected="0">
            <x v="0"/>
          </reference>
          <reference field="4" count="1" selected="0">
            <x v="4"/>
          </reference>
        </references>
      </pivotArea>
    </chartFormat>
    <chartFormat chart="10" format="2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AFE426-1179-4361-987F-4E161598832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15">
    <pivotField showAll="0"/>
    <pivotField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dataField="1" showAll="0"/>
    <pivotField showAll="0"/>
    <pivotField dataField="1" dragToRow="0" dragToCol="0" dragToPage="0" showAll="0" defaultSubtotal="0"/>
  </pivotFields>
  <rowFields count="1">
    <field x="5"/>
  </rowFields>
  <rowItems count="5">
    <i>
      <x/>
    </i>
    <i>
      <x v="1"/>
    </i>
    <i>
      <x v="2"/>
    </i>
    <i>
      <x v="3"/>
    </i>
    <i t="grand">
      <x/>
    </i>
  </rowItems>
  <colFields count="1">
    <field x="-2"/>
  </colFields>
  <colItems count="2">
    <i>
      <x/>
    </i>
    <i i="1">
      <x v="1"/>
    </i>
  </colItems>
  <dataFields count="2">
    <dataField name="Sum of Profit" fld="12" baseField="0" baseItem="0"/>
    <dataField name="Sum of Cost Price" fld="14" baseField="0" baseItem="0"/>
  </dataFields>
  <chartFormats count="39">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5" count="1" selected="0">
            <x v="2"/>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1"/>
          </reference>
          <reference field="5" count="1" selected="0">
            <x v="3"/>
          </reference>
        </references>
      </pivotArea>
    </chartFormat>
    <chartFormat chart="3" format="8">
      <pivotArea type="data" outline="0" fieldPosition="0">
        <references count="2">
          <reference field="4294967294" count="1" selected="0">
            <x v="1"/>
          </reference>
          <reference field="5"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5" count="1" selected="0">
            <x v="0"/>
          </reference>
        </references>
      </pivotArea>
    </chartFormat>
    <chartFormat chart="5" format="11">
      <pivotArea type="data" outline="0" fieldPosition="0">
        <references count="2">
          <reference field="4294967294" count="1" selected="0">
            <x v="0"/>
          </reference>
          <reference field="5" count="1" selected="0">
            <x v="1"/>
          </reference>
        </references>
      </pivotArea>
    </chartFormat>
    <chartFormat chart="5" format="12">
      <pivotArea type="data" outline="0" fieldPosition="0">
        <references count="2">
          <reference field="4294967294" count="1" selected="0">
            <x v="0"/>
          </reference>
          <reference field="5" count="1" selected="0">
            <x v="2"/>
          </reference>
        </references>
      </pivotArea>
    </chartFormat>
    <chartFormat chart="5" format="13">
      <pivotArea type="data" outline="0" fieldPosition="0">
        <references count="2">
          <reference field="4294967294" count="1" selected="0">
            <x v="0"/>
          </reference>
          <reference field="5" count="1" selected="0">
            <x v="3"/>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5" count="1" selected="0">
            <x v="1"/>
          </reference>
        </references>
      </pivotArea>
    </chartFormat>
    <chartFormat chart="5" format="16">
      <pivotArea type="data" outline="0" fieldPosition="0">
        <references count="2">
          <reference field="4294967294" count="1" selected="0">
            <x v="1"/>
          </reference>
          <reference field="5" count="1" selected="0">
            <x v="2"/>
          </reference>
        </references>
      </pivotArea>
    </chartFormat>
    <chartFormat chart="5" format="17">
      <pivotArea type="data" outline="0" fieldPosition="0">
        <references count="2">
          <reference field="4294967294" count="1" selected="0">
            <x v="1"/>
          </reference>
          <reference field="5" count="1" selected="0">
            <x v="3"/>
          </reference>
        </references>
      </pivotArea>
    </chartFormat>
    <chartFormat chart="3" format="9">
      <pivotArea type="data" outline="0" fieldPosition="0">
        <references count="2">
          <reference field="4294967294" count="1" selected="0">
            <x v="1"/>
          </reference>
          <reference field="5"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5" count="1" selected="0">
            <x v="0"/>
          </reference>
        </references>
      </pivotArea>
    </chartFormat>
    <chartFormat chart="9" format="12">
      <pivotArea type="data" outline="0" fieldPosition="0">
        <references count="2">
          <reference field="4294967294" count="1" selected="0">
            <x v="0"/>
          </reference>
          <reference field="5" count="1" selected="0">
            <x v="1"/>
          </reference>
        </references>
      </pivotArea>
    </chartFormat>
    <chartFormat chart="9" format="13">
      <pivotArea type="data" outline="0" fieldPosition="0">
        <references count="2">
          <reference field="4294967294" count="1" selected="0">
            <x v="0"/>
          </reference>
          <reference field="5" count="1" selected="0">
            <x v="2"/>
          </reference>
        </references>
      </pivotArea>
    </chartFormat>
    <chartFormat chart="9" format="14">
      <pivotArea type="data" outline="0" fieldPosition="0">
        <references count="2">
          <reference field="4294967294" count="1" selected="0">
            <x v="0"/>
          </reference>
          <reference field="5" count="1" selected="0">
            <x v="3"/>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5" count="1" selected="0">
            <x v="0"/>
          </reference>
        </references>
      </pivotArea>
    </chartFormat>
    <chartFormat chart="9" format="17">
      <pivotArea type="data" outline="0" fieldPosition="0">
        <references count="2">
          <reference field="4294967294" count="1" selected="0">
            <x v="1"/>
          </reference>
          <reference field="5" count="1" selected="0">
            <x v="1"/>
          </reference>
        </references>
      </pivotArea>
    </chartFormat>
    <chartFormat chart="9" format="18">
      <pivotArea type="data" outline="0" fieldPosition="0">
        <references count="2">
          <reference field="4294967294" count="1" selected="0">
            <x v="1"/>
          </reference>
          <reference field="5" count="1" selected="0">
            <x v="2"/>
          </reference>
        </references>
      </pivotArea>
    </chartFormat>
    <chartFormat chart="9" format="19">
      <pivotArea type="data" outline="0" fieldPosition="0">
        <references count="2">
          <reference field="4294967294" count="1" selected="0">
            <x v="1"/>
          </reference>
          <reference field="5" count="1" selected="0">
            <x v="3"/>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5" count="1" selected="0">
            <x v="0"/>
          </reference>
        </references>
      </pivotArea>
    </chartFormat>
    <chartFormat chart="11" format="22">
      <pivotArea type="data" outline="0" fieldPosition="0">
        <references count="2">
          <reference field="4294967294" count="1" selected="0">
            <x v="0"/>
          </reference>
          <reference field="5" count="1" selected="0">
            <x v="1"/>
          </reference>
        </references>
      </pivotArea>
    </chartFormat>
    <chartFormat chart="11" format="23">
      <pivotArea type="data" outline="0" fieldPosition="0">
        <references count="2">
          <reference field="4294967294" count="1" selected="0">
            <x v="0"/>
          </reference>
          <reference field="5" count="1" selected="0">
            <x v="2"/>
          </reference>
        </references>
      </pivotArea>
    </chartFormat>
    <chartFormat chart="11" format="24">
      <pivotArea type="data" outline="0" fieldPosition="0">
        <references count="2">
          <reference field="4294967294" count="1" selected="0">
            <x v="0"/>
          </reference>
          <reference field="5" count="1" selected="0">
            <x v="3"/>
          </reference>
        </references>
      </pivotArea>
    </chartFormat>
    <chartFormat chart="11" format="25" series="1">
      <pivotArea type="data" outline="0" fieldPosition="0">
        <references count="1">
          <reference field="4294967294" count="1" selected="0">
            <x v="1"/>
          </reference>
        </references>
      </pivotArea>
    </chartFormat>
    <chartFormat chart="11" format="26">
      <pivotArea type="data" outline="0" fieldPosition="0">
        <references count="2">
          <reference field="4294967294" count="1" selected="0">
            <x v="1"/>
          </reference>
          <reference field="5" count="1" selected="0">
            <x v="0"/>
          </reference>
        </references>
      </pivotArea>
    </chartFormat>
    <chartFormat chart="11" format="27">
      <pivotArea type="data" outline="0" fieldPosition="0">
        <references count="2">
          <reference field="4294967294" count="1" selected="0">
            <x v="1"/>
          </reference>
          <reference field="5" count="1" selected="0">
            <x v="1"/>
          </reference>
        </references>
      </pivotArea>
    </chartFormat>
    <chartFormat chart="11" format="28">
      <pivotArea type="data" outline="0" fieldPosition="0">
        <references count="2">
          <reference field="4294967294" count="1" selected="0">
            <x v="1"/>
          </reference>
          <reference field="5" count="1" selected="0">
            <x v="2"/>
          </reference>
        </references>
      </pivotArea>
    </chartFormat>
    <chartFormat chart="11" format="29">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16FDD60-E909-4FC8-B042-2BB0D938683E}" sourceName="Month">
  <pivotTables>
    <pivotTable tabId="2" name="PivotTable5"/>
  </pivotTables>
  <data>
    <tabular pivotCacheId="876533907">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BC748F6-18B8-4C7E-A44D-FD56C9A818EB}" sourceName="Territory">
  <pivotTables>
    <pivotTable tabId="2" name="PivotTable5"/>
    <pivotTable tabId="4" name="PivotTable1"/>
    <pivotTable tabId="3" name="PivotTable6"/>
    <pivotTable tabId="5" name="PivotTable2"/>
  </pivotTables>
  <data>
    <tabular pivotCacheId="876533907">
      <items count="28">
        <i x="16" s="1"/>
        <i x="13" s="1"/>
        <i x="9" s="1"/>
        <i x="10" s="1"/>
        <i x="3" s="1"/>
        <i x="5" s="1"/>
        <i x="27" s="1"/>
        <i x="11" s="1"/>
        <i x="18" s="1"/>
        <i x="0" s="1"/>
        <i x="15" s="1"/>
        <i x="8" s="1"/>
        <i x="23" s="1"/>
        <i x="24" s="1"/>
        <i x="2" s="1"/>
        <i x="21" s="1"/>
        <i x="7" s="1"/>
        <i x="12" s="1"/>
        <i x="26" s="1"/>
        <i x="25" s="1"/>
        <i x="17" s="1"/>
        <i x="14" s="1"/>
        <i x="20" s="1"/>
        <i x="4" s="1"/>
        <i x="6" s="1"/>
        <i x="19" s="1"/>
        <i x="1"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BCA580C-49FE-4A86-B6B1-E86D77A37D5B}" cache="Slicer_Month" caption="Month" style="SlicerStyleDark6" rowHeight="234950"/>
  <slicer name="Territory" xr10:uid="{42FB7A1A-5827-427F-AAFA-22D794B3E383}" cache="Slicer_Territory" caption="Territory"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9DBF-35AF-43E1-9D78-7D2230246A18}">
  <dimension ref="A3:B8"/>
  <sheetViews>
    <sheetView workbookViewId="0">
      <selection activeCell="E10" sqref="E10"/>
    </sheetView>
  </sheetViews>
  <sheetFormatPr defaultRowHeight="14.4" x14ac:dyDescent="0.3"/>
  <cols>
    <col min="1" max="1" width="13.77734375" bestFit="1" customWidth="1"/>
    <col min="2" max="2" width="12.109375" bestFit="1" customWidth="1"/>
    <col min="3" max="5" width="6" bestFit="1" customWidth="1"/>
    <col min="6" max="6" width="8" bestFit="1" customWidth="1"/>
    <col min="7" max="11" width="6" bestFit="1" customWidth="1"/>
    <col min="12" max="12" width="7" bestFit="1" customWidth="1"/>
    <col min="13" max="13" width="8" bestFit="1" customWidth="1"/>
    <col min="14" max="18" width="6" bestFit="1" customWidth="1"/>
    <col min="19" max="19" width="7" bestFit="1" customWidth="1"/>
    <col min="20" max="20" width="6" bestFit="1" customWidth="1"/>
    <col min="21" max="28" width="7" bestFit="1" customWidth="1"/>
    <col min="29" max="29" width="10.77734375" bestFit="1" customWidth="1"/>
  </cols>
  <sheetData>
    <row r="3" spans="1:2" x14ac:dyDescent="0.3">
      <c r="A3" s="3" t="s">
        <v>97</v>
      </c>
      <c r="B3" t="s">
        <v>99</v>
      </c>
    </row>
    <row r="4" spans="1:2" x14ac:dyDescent="0.3">
      <c r="A4" s="4" t="s">
        <v>100</v>
      </c>
      <c r="B4" s="5">
        <v>46544.5</v>
      </c>
    </row>
    <row r="5" spans="1:2" x14ac:dyDescent="0.3">
      <c r="A5" s="4" t="s">
        <v>101</v>
      </c>
      <c r="B5" s="5">
        <v>26256.5</v>
      </c>
    </row>
    <row r="6" spans="1:2" x14ac:dyDescent="0.3">
      <c r="A6" s="4" t="s">
        <v>102</v>
      </c>
      <c r="B6" s="5">
        <v>41604</v>
      </c>
    </row>
    <row r="7" spans="1:2" x14ac:dyDescent="0.3">
      <c r="A7" s="4" t="s">
        <v>103</v>
      </c>
      <c r="B7" s="5">
        <v>6440</v>
      </c>
    </row>
    <row r="8" spans="1:2" x14ac:dyDescent="0.3">
      <c r="A8" s="4" t="s">
        <v>98</v>
      </c>
      <c r="B8" s="5">
        <v>120845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87C5-36BD-4EC8-AB7A-DE1EC098F08C}">
  <dimension ref="A3:B8"/>
  <sheetViews>
    <sheetView workbookViewId="0">
      <selection activeCell="D14" sqref="D14"/>
    </sheetView>
  </sheetViews>
  <sheetFormatPr defaultRowHeight="14.4" x14ac:dyDescent="0.3"/>
  <cols>
    <col min="1" max="1" width="12.5546875" bestFit="1" customWidth="1"/>
    <col min="2" max="2" width="16" bestFit="1" customWidth="1"/>
  </cols>
  <sheetData>
    <row r="3" spans="1:2" x14ac:dyDescent="0.3">
      <c r="A3" s="3" t="s">
        <v>97</v>
      </c>
      <c r="B3" t="s">
        <v>104</v>
      </c>
    </row>
    <row r="4" spans="1:2" x14ac:dyDescent="0.3">
      <c r="A4" s="4" t="s">
        <v>16</v>
      </c>
      <c r="B4" s="5">
        <v>8032</v>
      </c>
    </row>
    <row r="5" spans="1:2" x14ac:dyDescent="0.3">
      <c r="A5" s="4" t="s">
        <v>28</v>
      </c>
      <c r="B5" s="5">
        <v>6518</v>
      </c>
    </row>
    <row r="6" spans="1:2" x14ac:dyDescent="0.3">
      <c r="A6" s="4" t="s">
        <v>34</v>
      </c>
      <c r="B6" s="5">
        <v>14640</v>
      </c>
    </row>
    <row r="7" spans="1:2" x14ac:dyDescent="0.3">
      <c r="A7" s="4" t="s">
        <v>22</v>
      </c>
      <c r="B7" s="5">
        <v>8129</v>
      </c>
    </row>
    <row r="8" spans="1:2" x14ac:dyDescent="0.3">
      <c r="A8" s="4" t="s">
        <v>98</v>
      </c>
      <c r="B8" s="5">
        <v>37319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DE55C-9AC6-4CFD-B55C-2D664BA831AA}">
  <dimension ref="A3:B9"/>
  <sheetViews>
    <sheetView workbookViewId="0">
      <selection activeCell="D5" sqref="D5"/>
    </sheetView>
  </sheetViews>
  <sheetFormatPr defaultRowHeight="14.4" x14ac:dyDescent="0.3"/>
  <cols>
    <col min="1" max="1" width="12.5546875" bestFit="1" customWidth="1"/>
    <col min="2" max="2" width="12.109375" bestFit="1" customWidth="1"/>
  </cols>
  <sheetData>
    <row r="3" spans="1:2" x14ac:dyDescent="0.3">
      <c r="A3" s="3" t="s">
        <v>97</v>
      </c>
      <c r="B3" t="s">
        <v>99</v>
      </c>
    </row>
    <row r="4" spans="1:2" x14ac:dyDescent="0.3">
      <c r="A4" s="4" t="s">
        <v>27</v>
      </c>
      <c r="B4" s="5">
        <v>30417.75</v>
      </c>
    </row>
    <row r="5" spans="1:2" x14ac:dyDescent="0.3">
      <c r="A5" s="4" t="s">
        <v>14</v>
      </c>
      <c r="B5" s="5">
        <v>14699.25</v>
      </c>
    </row>
    <row r="6" spans="1:2" x14ac:dyDescent="0.3">
      <c r="A6" s="4" t="s">
        <v>21</v>
      </c>
      <c r="B6" s="5">
        <v>22208</v>
      </c>
    </row>
    <row r="7" spans="1:2" x14ac:dyDescent="0.3">
      <c r="A7" s="4" t="s">
        <v>39</v>
      </c>
      <c r="B7" s="5">
        <v>42126</v>
      </c>
    </row>
    <row r="8" spans="1:2" x14ac:dyDescent="0.3">
      <c r="A8" s="4" t="s">
        <v>33</v>
      </c>
      <c r="B8" s="5">
        <v>11394</v>
      </c>
    </row>
    <row r="9" spans="1:2" x14ac:dyDescent="0.3">
      <c r="A9" s="4" t="s">
        <v>98</v>
      </c>
      <c r="B9" s="5">
        <v>120845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0F4F9-23E6-4E0A-946B-8101FFADE62D}">
  <dimension ref="A3:B10"/>
  <sheetViews>
    <sheetView zoomScale="92" workbookViewId="0">
      <selection activeCell="L14" sqref="L14"/>
    </sheetView>
  </sheetViews>
  <sheetFormatPr defaultRowHeight="14.4" x14ac:dyDescent="0.3"/>
  <cols>
    <col min="1" max="1" width="12.5546875" bestFit="1" customWidth="1"/>
    <col min="2" max="2" width="12.21875" bestFit="1" customWidth="1"/>
  </cols>
  <sheetData>
    <row r="3" spans="1:2" x14ac:dyDescent="0.3">
      <c r="A3" s="3" t="s">
        <v>97</v>
      </c>
      <c r="B3" t="s">
        <v>99</v>
      </c>
    </row>
    <row r="4" spans="1:2" x14ac:dyDescent="0.3">
      <c r="A4" s="4" t="s">
        <v>15</v>
      </c>
      <c r="B4" s="5">
        <v>22800</v>
      </c>
    </row>
    <row r="5" spans="1:2" x14ac:dyDescent="0.3">
      <c r="A5" s="4" t="s">
        <v>43</v>
      </c>
      <c r="B5" s="5">
        <v>42387.5</v>
      </c>
    </row>
    <row r="6" spans="1:2" x14ac:dyDescent="0.3">
      <c r="A6" s="4" t="s">
        <v>57</v>
      </c>
      <c r="B6" s="5">
        <v>13937.5</v>
      </c>
    </row>
    <row r="7" spans="1:2" x14ac:dyDescent="0.3">
      <c r="A7" s="4" t="s">
        <v>71</v>
      </c>
      <c r="B7" s="5">
        <v>13857</v>
      </c>
    </row>
    <row r="8" spans="1:2" x14ac:dyDescent="0.3">
      <c r="A8" s="4" t="s">
        <v>84</v>
      </c>
      <c r="B8" s="5">
        <v>13560.25</v>
      </c>
    </row>
    <row r="9" spans="1:2" x14ac:dyDescent="0.3">
      <c r="A9" s="4" t="s">
        <v>92</v>
      </c>
      <c r="B9" s="5">
        <v>14302.75</v>
      </c>
    </row>
    <row r="10" spans="1:2" x14ac:dyDescent="0.3">
      <c r="A10" s="4" t="s">
        <v>98</v>
      </c>
      <c r="B10" s="5">
        <v>120845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A47E1-9141-4F2E-B31C-6F3109B2568E}">
  <dimension ref="A3:C8"/>
  <sheetViews>
    <sheetView workbookViewId="0">
      <selection activeCell="M11" sqref="K11:M11"/>
    </sheetView>
  </sheetViews>
  <sheetFormatPr defaultRowHeight="14.4" x14ac:dyDescent="0.3"/>
  <cols>
    <col min="1" max="1" width="12.5546875" bestFit="1" customWidth="1"/>
    <col min="2" max="2" width="12.109375" bestFit="1" customWidth="1"/>
    <col min="3" max="3" width="15.77734375" bestFit="1" customWidth="1"/>
  </cols>
  <sheetData>
    <row r="3" spans="1:3" x14ac:dyDescent="0.3">
      <c r="A3" s="3" t="s">
        <v>97</v>
      </c>
      <c r="B3" t="s">
        <v>99</v>
      </c>
      <c r="C3" t="s">
        <v>105</v>
      </c>
    </row>
    <row r="4" spans="1:3" x14ac:dyDescent="0.3">
      <c r="A4" s="4" t="s">
        <v>16</v>
      </c>
      <c r="B4">
        <v>28523.25</v>
      </c>
      <c r="C4">
        <v>4232864</v>
      </c>
    </row>
    <row r="5" spans="1:3" x14ac:dyDescent="0.3">
      <c r="A5" s="4" t="s">
        <v>28</v>
      </c>
      <c r="B5">
        <v>21916.5</v>
      </c>
      <c r="C5">
        <v>1981472</v>
      </c>
    </row>
    <row r="6" spans="1:3" x14ac:dyDescent="0.3">
      <c r="A6" s="4" t="s">
        <v>34</v>
      </c>
      <c r="B6">
        <v>36871.75</v>
      </c>
      <c r="C6">
        <v>6426960</v>
      </c>
    </row>
    <row r="7" spans="1:3" x14ac:dyDescent="0.3">
      <c r="A7" s="4" t="s">
        <v>22</v>
      </c>
      <c r="B7">
        <v>33533.5</v>
      </c>
      <c r="C7">
        <v>3186568</v>
      </c>
    </row>
    <row r="8" spans="1:3" x14ac:dyDescent="0.3">
      <c r="A8" s="4" t="s">
        <v>98</v>
      </c>
      <c r="B8">
        <v>120845</v>
      </c>
      <c r="C8">
        <v>62024178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CCA02-71EE-4908-AA08-AE3F78227AD4}">
  <dimension ref="A1:A4"/>
  <sheetViews>
    <sheetView tabSelected="1" topLeftCell="A4" zoomScale="46" workbookViewId="0">
      <selection activeCell="AJ31" sqref="AJ31"/>
    </sheetView>
  </sheetViews>
  <sheetFormatPr defaultRowHeight="14.4" x14ac:dyDescent="0.3"/>
  <sheetData>
    <row r="1" customFormat="1" x14ac:dyDescent="0.3"/>
    <row r="2" customFormat="1" x14ac:dyDescent="0.3"/>
    <row r="3" customFormat="1" x14ac:dyDescent="0.3"/>
    <row r="4"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42906-B75B-41D8-B239-5B6128511258}">
  <dimension ref="A1:N31"/>
  <sheetViews>
    <sheetView zoomScale="123" workbookViewId="0">
      <selection activeCell="O11" sqref="O11"/>
    </sheetView>
  </sheetViews>
  <sheetFormatPr defaultRowHeight="14.4" x14ac:dyDescent="0.3"/>
  <cols>
    <col min="1" max="1" width="13.21875" bestFit="1" customWidth="1"/>
    <col min="2" max="2" width="13.5546875" bestFit="1" customWidth="1"/>
    <col min="3" max="3" width="9.5546875" bestFit="1" customWidth="1"/>
    <col min="4" max="4" width="11" bestFit="1" customWidth="1"/>
    <col min="10" max="10" width="10" bestFit="1" customWidth="1"/>
    <col min="11" max="11" width="11.33203125" bestFit="1" customWidth="1"/>
    <col min="12" max="12" width="12.21875" bestFit="1" customWidth="1"/>
    <col min="14" max="14" width="12.2187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106</v>
      </c>
    </row>
    <row r="2" spans="1:14" x14ac:dyDescent="0.3">
      <c r="A2" s="2" t="s">
        <v>13</v>
      </c>
      <c r="B2" s="2" t="s">
        <v>14</v>
      </c>
      <c r="C2" s="2">
        <v>50</v>
      </c>
      <c r="D2" s="2">
        <v>55</v>
      </c>
      <c r="E2" s="2" t="s">
        <v>15</v>
      </c>
      <c r="F2" s="2" t="s">
        <v>16</v>
      </c>
      <c r="G2" s="2" t="s">
        <v>17</v>
      </c>
      <c r="H2" s="2" t="s">
        <v>18</v>
      </c>
      <c r="I2" s="2" t="s">
        <v>19</v>
      </c>
      <c r="J2" s="2">
        <v>2000</v>
      </c>
      <c r="K2" s="2">
        <f t="shared" ref="K2:K31" si="0">J2*D2</f>
        <v>110000</v>
      </c>
      <c r="L2" s="2">
        <f t="shared" ref="L2:L31" si="1">K2*5%</f>
        <v>5500</v>
      </c>
      <c r="M2" s="2">
        <f t="shared" ref="M2:M31" si="2">((D2-C2)*J2)-L2</f>
        <v>4500</v>
      </c>
      <c r="N2" s="2">
        <v>2000</v>
      </c>
    </row>
    <row r="3" spans="1:14" x14ac:dyDescent="0.3">
      <c r="A3" s="2" t="s">
        <v>20</v>
      </c>
      <c r="B3" s="2" t="s">
        <v>21</v>
      </c>
      <c r="C3" s="2">
        <v>15</v>
      </c>
      <c r="D3" s="2">
        <v>20</v>
      </c>
      <c r="E3" s="2" t="s">
        <v>15</v>
      </c>
      <c r="F3" s="2" t="s">
        <v>22</v>
      </c>
      <c r="G3" s="2" t="s">
        <v>23</v>
      </c>
      <c r="H3" s="2" t="s">
        <v>24</v>
      </c>
      <c r="I3" s="2" t="s">
        <v>25</v>
      </c>
      <c r="J3" s="2">
        <v>1000</v>
      </c>
      <c r="K3" s="2">
        <f t="shared" si="0"/>
        <v>20000</v>
      </c>
      <c r="L3" s="2">
        <f t="shared" si="1"/>
        <v>1000</v>
      </c>
      <c r="M3" s="2">
        <f t="shared" si="2"/>
        <v>4000</v>
      </c>
      <c r="N3" s="2">
        <v>1000</v>
      </c>
    </row>
    <row r="4" spans="1:14" x14ac:dyDescent="0.3">
      <c r="A4" s="2" t="s">
        <v>26</v>
      </c>
      <c r="B4" s="2" t="s">
        <v>27</v>
      </c>
      <c r="C4" s="2">
        <v>12</v>
      </c>
      <c r="D4" s="2">
        <v>15</v>
      </c>
      <c r="E4" s="2" t="s">
        <v>15</v>
      </c>
      <c r="F4" s="2" t="s">
        <v>28</v>
      </c>
      <c r="G4" s="2" t="s">
        <v>29</v>
      </c>
      <c r="H4" s="2" t="s">
        <v>30</v>
      </c>
      <c r="I4" s="2" t="s">
        <v>31</v>
      </c>
      <c r="J4" s="2">
        <v>1200</v>
      </c>
      <c r="K4" s="2">
        <f t="shared" si="0"/>
        <v>18000</v>
      </c>
      <c r="L4" s="2">
        <f t="shared" si="1"/>
        <v>900</v>
      </c>
      <c r="M4" s="2">
        <f t="shared" si="2"/>
        <v>2700</v>
      </c>
      <c r="N4" s="2">
        <v>1200</v>
      </c>
    </row>
    <row r="5" spans="1:14" x14ac:dyDescent="0.3">
      <c r="A5" s="2" t="s">
        <v>32</v>
      </c>
      <c r="B5" s="2" t="s">
        <v>33</v>
      </c>
      <c r="C5" s="2">
        <v>150</v>
      </c>
      <c r="D5" s="2">
        <v>160</v>
      </c>
      <c r="E5" s="2" t="s">
        <v>15</v>
      </c>
      <c r="F5" s="2" t="s">
        <v>34</v>
      </c>
      <c r="G5" s="2" t="s">
        <v>35</v>
      </c>
      <c r="H5" s="2" t="s">
        <v>36</v>
      </c>
      <c r="I5" s="2" t="s">
        <v>37</v>
      </c>
      <c r="J5" s="2">
        <v>1250</v>
      </c>
      <c r="K5" s="2">
        <f t="shared" si="0"/>
        <v>200000</v>
      </c>
      <c r="L5" s="2">
        <f t="shared" si="1"/>
        <v>10000</v>
      </c>
      <c r="M5" s="2">
        <f t="shared" si="2"/>
        <v>2500</v>
      </c>
      <c r="N5" s="2">
        <v>1250</v>
      </c>
    </row>
    <row r="6" spans="1:14" x14ac:dyDescent="0.3">
      <c r="A6" s="2" t="s">
        <v>38</v>
      </c>
      <c r="B6" s="2" t="s">
        <v>39</v>
      </c>
      <c r="C6" s="2">
        <v>50</v>
      </c>
      <c r="D6" s="2">
        <v>60</v>
      </c>
      <c r="E6" s="2" t="s">
        <v>15</v>
      </c>
      <c r="F6" s="2" t="s">
        <v>16</v>
      </c>
      <c r="G6" s="2" t="s">
        <v>40</v>
      </c>
      <c r="H6" s="2" t="s">
        <v>41</v>
      </c>
      <c r="I6" s="2" t="s">
        <v>42</v>
      </c>
      <c r="J6" s="2">
        <v>1300</v>
      </c>
      <c r="K6" s="2">
        <f t="shared" si="0"/>
        <v>78000</v>
      </c>
      <c r="L6" s="2">
        <f t="shared" si="1"/>
        <v>3900</v>
      </c>
      <c r="M6" s="2">
        <f t="shared" si="2"/>
        <v>9100</v>
      </c>
      <c r="N6" s="2">
        <v>1300</v>
      </c>
    </row>
    <row r="7" spans="1:14" x14ac:dyDescent="0.3">
      <c r="A7" s="2" t="s">
        <v>13</v>
      </c>
      <c r="B7" s="2" t="s">
        <v>14</v>
      </c>
      <c r="C7" s="2">
        <v>50</v>
      </c>
      <c r="D7" s="2">
        <v>55</v>
      </c>
      <c r="E7" s="2" t="s">
        <v>43</v>
      </c>
      <c r="F7" s="2" t="s">
        <v>22</v>
      </c>
      <c r="G7" s="2" t="s">
        <v>44</v>
      </c>
      <c r="H7" s="2" t="s">
        <v>45</v>
      </c>
      <c r="I7" s="2" t="s">
        <v>46</v>
      </c>
      <c r="J7" s="2">
        <v>1350</v>
      </c>
      <c r="K7" s="2">
        <f t="shared" si="0"/>
        <v>74250</v>
      </c>
      <c r="L7" s="2">
        <f t="shared" si="1"/>
        <v>3712.5</v>
      </c>
      <c r="M7" s="2">
        <f t="shared" si="2"/>
        <v>3037.5</v>
      </c>
      <c r="N7" s="2">
        <v>1350</v>
      </c>
    </row>
    <row r="8" spans="1:14" x14ac:dyDescent="0.3">
      <c r="A8" s="2" t="s">
        <v>20</v>
      </c>
      <c r="B8" s="2" t="s">
        <v>21</v>
      </c>
      <c r="C8" s="2">
        <v>15</v>
      </c>
      <c r="D8" s="2">
        <v>20</v>
      </c>
      <c r="E8" s="2" t="s">
        <v>43</v>
      </c>
      <c r="F8" s="2" t="s">
        <v>28</v>
      </c>
      <c r="G8" s="2" t="s">
        <v>47</v>
      </c>
      <c r="H8" s="2" t="s">
        <v>48</v>
      </c>
      <c r="I8" s="2" t="s">
        <v>49</v>
      </c>
      <c r="J8" s="2">
        <v>1400</v>
      </c>
      <c r="K8" s="2">
        <f t="shared" si="0"/>
        <v>28000</v>
      </c>
      <c r="L8" s="2">
        <f t="shared" si="1"/>
        <v>1400</v>
      </c>
      <c r="M8" s="2">
        <f t="shared" si="2"/>
        <v>5600</v>
      </c>
      <c r="N8" s="2">
        <v>1400</v>
      </c>
    </row>
    <row r="9" spans="1:14" x14ac:dyDescent="0.3">
      <c r="A9" s="2" t="s">
        <v>26</v>
      </c>
      <c r="B9" s="2" t="s">
        <v>27</v>
      </c>
      <c r="C9" s="2">
        <v>12</v>
      </c>
      <c r="D9" s="2">
        <v>15</v>
      </c>
      <c r="E9" s="2" t="s">
        <v>43</v>
      </c>
      <c r="F9" s="2" t="s">
        <v>34</v>
      </c>
      <c r="G9" s="2" t="s">
        <v>50</v>
      </c>
      <c r="H9" s="2" t="s">
        <v>51</v>
      </c>
      <c r="I9" s="2" t="s">
        <v>52</v>
      </c>
      <c r="J9" s="2">
        <v>9000</v>
      </c>
      <c r="K9" s="2">
        <f t="shared" si="0"/>
        <v>135000</v>
      </c>
      <c r="L9" s="2">
        <f t="shared" si="1"/>
        <v>6750</v>
      </c>
      <c r="M9" s="2">
        <f t="shared" si="2"/>
        <v>20250</v>
      </c>
      <c r="N9" s="2">
        <v>9000</v>
      </c>
    </row>
    <row r="10" spans="1:14" x14ac:dyDescent="0.3">
      <c r="A10" s="2" t="s">
        <v>32</v>
      </c>
      <c r="B10" s="2" t="s">
        <v>33</v>
      </c>
      <c r="C10" s="2">
        <v>150</v>
      </c>
      <c r="D10" s="2">
        <v>160</v>
      </c>
      <c r="E10" s="2" t="s">
        <v>43</v>
      </c>
      <c r="F10" s="2" t="s">
        <v>16</v>
      </c>
      <c r="G10" s="2" t="s">
        <v>53</v>
      </c>
      <c r="H10" s="2" t="s">
        <v>54</v>
      </c>
      <c r="I10" s="2" t="s">
        <v>55</v>
      </c>
      <c r="J10" s="2">
        <v>800</v>
      </c>
      <c r="K10" s="2">
        <f t="shared" si="0"/>
        <v>128000</v>
      </c>
      <c r="L10" s="2">
        <f t="shared" si="1"/>
        <v>6400</v>
      </c>
      <c r="M10" s="2">
        <f t="shared" si="2"/>
        <v>1600</v>
      </c>
      <c r="N10" s="2">
        <v>800</v>
      </c>
    </row>
    <row r="11" spans="1:14" x14ac:dyDescent="0.3">
      <c r="A11" s="2" t="s">
        <v>38</v>
      </c>
      <c r="B11" s="2" t="s">
        <v>39</v>
      </c>
      <c r="C11" s="2">
        <v>50</v>
      </c>
      <c r="D11" s="2">
        <v>60</v>
      </c>
      <c r="E11" s="2" t="s">
        <v>43</v>
      </c>
      <c r="F11" s="2" t="s">
        <v>22</v>
      </c>
      <c r="G11" s="2" t="s">
        <v>44</v>
      </c>
      <c r="H11" s="2" t="s">
        <v>56</v>
      </c>
      <c r="I11" s="2" t="s">
        <v>46</v>
      </c>
      <c r="J11" s="2">
        <v>1700</v>
      </c>
      <c r="K11" s="2">
        <f t="shared" si="0"/>
        <v>102000</v>
      </c>
      <c r="L11" s="2">
        <f t="shared" si="1"/>
        <v>5100</v>
      </c>
      <c r="M11" s="2">
        <f t="shared" si="2"/>
        <v>11900</v>
      </c>
      <c r="N11" s="2">
        <v>1700</v>
      </c>
    </row>
    <row r="12" spans="1:14" x14ac:dyDescent="0.3">
      <c r="A12" s="2" t="s">
        <v>13</v>
      </c>
      <c r="B12" s="2" t="s">
        <v>14</v>
      </c>
      <c r="C12" s="2">
        <v>50</v>
      </c>
      <c r="D12" s="2">
        <v>55</v>
      </c>
      <c r="E12" s="2" t="s">
        <v>57</v>
      </c>
      <c r="F12" s="2" t="s">
        <v>28</v>
      </c>
      <c r="G12" s="2" t="s">
        <v>58</v>
      </c>
      <c r="H12" s="2" t="s">
        <v>59</v>
      </c>
      <c r="I12" s="2" t="s">
        <v>60</v>
      </c>
      <c r="J12" s="2">
        <v>650</v>
      </c>
      <c r="K12" s="2">
        <f t="shared" si="0"/>
        <v>35750</v>
      </c>
      <c r="L12" s="2">
        <f t="shared" si="1"/>
        <v>1787.5</v>
      </c>
      <c r="M12" s="2">
        <f t="shared" si="2"/>
        <v>1462.5</v>
      </c>
      <c r="N12" s="2">
        <v>650</v>
      </c>
    </row>
    <row r="13" spans="1:14" x14ac:dyDescent="0.3">
      <c r="A13" s="2" t="s">
        <v>20</v>
      </c>
      <c r="B13" s="2" t="s">
        <v>21</v>
      </c>
      <c r="C13" s="2">
        <v>15</v>
      </c>
      <c r="D13" s="2">
        <v>20</v>
      </c>
      <c r="E13" s="2" t="s">
        <v>57</v>
      </c>
      <c r="F13" s="2" t="s">
        <v>34</v>
      </c>
      <c r="G13" s="2" t="s">
        <v>61</v>
      </c>
      <c r="H13" s="2" t="s">
        <v>62</v>
      </c>
      <c r="I13" s="2" t="s">
        <v>63</v>
      </c>
      <c r="J13" s="2">
        <v>780</v>
      </c>
      <c r="K13" s="2">
        <f t="shared" si="0"/>
        <v>15600</v>
      </c>
      <c r="L13" s="2">
        <f t="shared" si="1"/>
        <v>780</v>
      </c>
      <c r="M13" s="2">
        <f t="shared" si="2"/>
        <v>3120</v>
      </c>
      <c r="N13" s="2">
        <v>780</v>
      </c>
    </row>
    <row r="14" spans="1:14" x14ac:dyDescent="0.3">
      <c r="A14" s="2" t="s">
        <v>26</v>
      </c>
      <c r="B14" s="2" t="s">
        <v>27</v>
      </c>
      <c r="C14" s="2">
        <v>12</v>
      </c>
      <c r="D14" s="2">
        <v>15</v>
      </c>
      <c r="E14" s="2" t="s">
        <v>57</v>
      </c>
      <c r="F14" s="2" t="s">
        <v>16</v>
      </c>
      <c r="G14" s="2" t="s">
        <v>64</v>
      </c>
      <c r="H14" s="2" t="s">
        <v>65</v>
      </c>
      <c r="I14" s="2" t="s">
        <v>66</v>
      </c>
      <c r="J14" s="2">
        <v>820</v>
      </c>
      <c r="K14" s="2">
        <f t="shared" si="0"/>
        <v>12300</v>
      </c>
      <c r="L14" s="2">
        <f t="shared" si="1"/>
        <v>615</v>
      </c>
      <c r="M14" s="2">
        <f t="shared" si="2"/>
        <v>1845</v>
      </c>
      <c r="N14" s="2">
        <v>820</v>
      </c>
    </row>
    <row r="15" spans="1:14" x14ac:dyDescent="0.3">
      <c r="A15" s="2" t="s">
        <v>32</v>
      </c>
      <c r="B15" s="2" t="s">
        <v>33</v>
      </c>
      <c r="C15" s="2">
        <v>150</v>
      </c>
      <c r="D15" s="2">
        <v>160</v>
      </c>
      <c r="E15" s="2" t="s">
        <v>57</v>
      </c>
      <c r="F15" s="2" t="s">
        <v>22</v>
      </c>
      <c r="G15" s="2" t="s">
        <v>23</v>
      </c>
      <c r="H15" s="2" t="s">
        <v>67</v>
      </c>
      <c r="I15" s="2" t="s">
        <v>25</v>
      </c>
      <c r="J15" s="2">
        <v>780</v>
      </c>
      <c r="K15" s="2">
        <f t="shared" si="0"/>
        <v>124800</v>
      </c>
      <c r="L15" s="2">
        <f t="shared" si="1"/>
        <v>6240</v>
      </c>
      <c r="M15" s="2">
        <f t="shared" si="2"/>
        <v>1560</v>
      </c>
      <c r="N15" s="2">
        <v>780</v>
      </c>
    </row>
    <row r="16" spans="1:14" x14ac:dyDescent="0.3">
      <c r="A16" s="2" t="s">
        <v>38</v>
      </c>
      <c r="B16" s="2" t="s">
        <v>39</v>
      </c>
      <c r="C16" s="2">
        <v>50</v>
      </c>
      <c r="D16" s="2">
        <v>60</v>
      </c>
      <c r="E16" s="2" t="s">
        <v>57</v>
      </c>
      <c r="F16" s="2" t="s">
        <v>28</v>
      </c>
      <c r="G16" s="2" t="s">
        <v>68</v>
      </c>
      <c r="H16" s="2" t="s">
        <v>69</v>
      </c>
      <c r="I16" s="2" t="s">
        <v>70</v>
      </c>
      <c r="J16" s="2">
        <v>850</v>
      </c>
      <c r="K16" s="2">
        <f t="shared" si="0"/>
        <v>51000</v>
      </c>
      <c r="L16" s="2">
        <f t="shared" si="1"/>
        <v>2550</v>
      </c>
      <c r="M16" s="2">
        <f t="shared" si="2"/>
        <v>5950</v>
      </c>
      <c r="N16" s="2">
        <v>850</v>
      </c>
    </row>
    <row r="17" spans="1:14" x14ac:dyDescent="0.3">
      <c r="A17" s="2" t="s">
        <v>13</v>
      </c>
      <c r="B17" s="2" t="s">
        <v>14</v>
      </c>
      <c r="C17" s="2">
        <v>50</v>
      </c>
      <c r="D17" s="2">
        <v>55</v>
      </c>
      <c r="E17" s="2" t="s">
        <v>71</v>
      </c>
      <c r="F17" s="2" t="s">
        <v>34</v>
      </c>
      <c r="G17" s="2" t="s">
        <v>72</v>
      </c>
      <c r="H17" s="2" t="s">
        <v>73</v>
      </c>
      <c r="I17" s="2" t="s">
        <v>74</v>
      </c>
      <c r="J17" s="2">
        <v>980</v>
      </c>
      <c r="K17" s="2">
        <f t="shared" si="0"/>
        <v>53900</v>
      </c>
      <c r="L17" s="2">
        <f t="shared" si="1"/>
        <v>2695</v>
      </c>
      <c r="M17" s="2">
        <f t="shared" si="2"/>
        <v>2205</v>
      </c>
      <c r="N17" s="2">
        <v>980</v>
      </c>
    </row>
    <row r="18" spans="1:14" x14ac:dyDescent="0.3">
      <c r="A18" s="2" t="s">
        <v>20</v>
      </c>
      <c r="B18" s="2" t="s">
        <v>21</v>
      </c>
      <c r="C18" s="2">
        <v>15</v>
      </c>
      <c r="D18" s="2">
        <v>20</v>
      </c>
      <c r="E18" s="2" t="s">
        <v>71</v>
      </c>
      <c r="F18" s="2" t="s">
        <v>16</v>
      </c>
      <c r="G18" s="2" t="s">
        <v>75</v>
      </c>
      <c r="H18" s="2" t="s">
        <v>76</v>
      </c>
      <c r="I18" s="2" t="s">
        <v>77</v>
      </c>
      <c r="J18" s="2">
        <v>900</v>
      </c>
      <c r="K18" s="2">
        <f t="shared" si="0"/>
        <v>18000</v>
      </c>
      <c r="L18" s="2">
        <f t="shared" si="1"/>
        <v>900</v>
      </c>
      <c r="M18" s="2">
        <f t="shared" si="2"/>
        <v>3600</v>
      </c>
      <c r="N18" s="2">
        <v>900</v>
      </c>
    </row>
    <row r="19" spans="1:14" x14ac:dyDescent="0.3">
      <c r="A19" s="2" t="s">
        <v>26</v>
      </c>
      <c r="B19" s="2" t="s">
        <v>27</v>
      </c>
      <c r="C19" s="2">
        <v>12</v>
      </c>
      <c r="D19" s="2">
        <v>15</v>
      </c>
      <c r="E19" s="2" t="s">
        <v>71</v>
      </c>
      <c r="F19" s="2" t="s">
        <v>22</v>
      </c>
      <c r="G19" s="2" t="s">
        <v>78</v>
      </c>
      <c r="H19" s="2" t="s">
        <v>79</v>
      </c>
      <c r="I19" s="2" t="s">
        <v>80</v>
      </c>
      <c r="J19" s="2">
        <v>656</v>
      </c>
      <c r="K19" s="2">
        <f t="shared" si="0"/>
        <v>9840</v>
      </c>
      <c r="L19" s="2">
        <f t="shared" si="1"/>
        <v>492</v>
      </c>
      <c r="M19" s="2">
        <f t="shared" si="2"/>
        <v>1476</v>
      </c>
      <c r="N19" s="2">
        <v>656</v>
      </c>
    </row>
    <row r="20" spans="1:14" x14ac:dyDescent="0.3">
      <c r="A20" s="2" t="s">
        <v>32</v>
      </c>
      <c r="B20" s="2" t="s">
        <v>33</v>
      </c>
      <c r="C20" s="2">
        <v>150</v>
      </c>
      <c r="D20" s="2">
        <v>160</v>
      </c>
      <c r="E20" s="2" t="s">
        <v>71</v>
      </c>
      <c r="F20" s="2" t="s">
        <v>28</v>
      </c>
      <c r="G20" s="2" t="s">
        <v>81</v>
      </c>
      <c r="H20" s="2" t="s">
        <v>81</v>
      </c>
      <c r="I20" s="2" t="s">
        <v>82</v>
      </c>
      <c r="J20" s="2">
        <v>985</v>
      </c>
      <c r="K20" s="2">
        <f t="shared" si="0"/>
        <v>157600</v>
      </c>
      <c r="L20" s="2">
        <f t="shared" si="1"/>
        <v>7880</v>
      </c>
      <c r="M20" s="2">
        <f t="shared" si="2"/>
        <v>1970</v>
      </c>
      <c r="N20" s="2">
        <v>985</v>
      </c>
    </row>
    <row r="21" spans="1:14" x14ac:dyDescent="0.3">
      <c r="A21" s="2" t="s">
        <v>38</v>
      </c>
      <c r="B21" s="2" t="s">
        <v>39</v>
      </c>
      <c r="C21" s="2">
        <v>50</v>
      </c>
      <c r="D21" s="2">
        <v>60</v>
      </c>
      <c r="E21" s="2" t="s">
        <v>71</v>
      </c>
      <c r="F21" s="2" t="s">
        <v>34</v>
      </c>
      <c r="G21" s="2" t="s">
        <v>61</v>
      </c>
      <c r="H21" s="2" t="s">
        <v>83</v>
      </c>
      <c r="I21" s="2" t="s">
        <v>63</v>
      </c>
      <c r="J21" s="2">
        <v>658</v>
      </c>
      <c r="K21" s="2">
        <f t="shared" si="0"/>
        <v>39480</v>
      </c>
      <c r="L21" s="2">
        <f t="shared" si="1"/>
        <v>1974</v>
      </c>
      <c r="M21" s="2">
        <f t="shared" si="2"/>
        <v>4606</v>
      </c>
      <c r="N21" s="2">
        <v>658</v>
      </c>
    </row>
    <row r="22" spans="1:14" x14ac:dyDescent="0.3">
      <c r="A22" s="2" t="s">
        <v>13</v>
      </c>
      <c r="B22" s="2" t="s">
        <v>14</v>
      </c>
      <c r="C22" s="2">
        <v>50</v>
      </c>
      <c r="D22" s="2">
        <v>55</v>
      </c>
      <c r="E22" s="2" t="s">
        <v>84</v>
      </c>
      <c r="F22" s="2" t="s">
        <v>16</v>
      </c>
      <c r="G22" s="2" t="s">
        <v>75</v>
      </c>
      <c r="H22" s="2" t="s">
        <v>76</v>
      </c>
      <c r="I22" s="2" t="s">
        <v>85</v>
      </c>
      <c r="J22" s="2">
        <v>657</v>
      </c>
      <c r="K22" s="2">
        <f t="shared" si="0"/>
        <v>36135</v>
      </c>
      <c r="L22" s="2">
        <f t="shared" si="1"/>
        <v>1806.75</v>
      </c>
      <c r="M22" s="2">
        <f t="shared" si="2"/>
        <v>1478.25</v>
      </c>
      <c r="N22" s="2">
        <v>657</v>
      </c>
    </row>
    <row r="23" spans="1:14" x14ac:dyDescent="0.3">
      <c r="A23" s="2" t="s">
        <v>20</v>
      </c>
      <c r="B23" s="2" t="s">
        <v>21</v>
      </c>
      <c r="C23" s="2">
        <v>15</v>
      </c>
      <c r="D23" s="2">
        <v>20</v>
      </c>
      <c r="E23" s="2" t="s">
        <v>84</v>
      </c>
      <c r="F23" s="2" t="s">
        <v>22</v>
      </c>
      <c r="G23" s="2" t="s">
        <v>78</v>
      </c>
      <c r="H23" s="2" t="s">
        <v>86</v>
      </c>
      <c r="I23" s="2" t="s">
        <v>80</v>
      </c>
      <c r="J23" s="2">
        <v>895</v>
      </c>
      <c r="K23" s="2">
        <f t="shared" si="0"/>
        <v>17900</v>
      </c>
      <c r="L23" s="2">
        <f t="shared" si="1"/>
        <v>895</v>
      </c>
      <c r="M23" s="2">
        <f t="shared" si="2"/>
        <v>3580</v>
      </c>
      <c r="N23" s="2">
        <v>895</v>
      </c>
    </row>
    <row r="24" spans="1:14" x14ac:dyDescent="0.3">
      <c r="A24" s="2" t="s">
        <v>26</v>
      </c>
      <c r="B24" s="2" t="s">
        <v>27</v>
      </c>
      <c r="C24" s="2">
        <v>12</v>
      </c>
      <c r="D24" s="2">
        <v>15</v>
      </c>
      <c r="E24" s="2" t="s">
        <v>84</v>
      </c>
      <c r="F24" s="2" t="s">
        <v>28</v>
      </c>
      <c r="G24" s="2" t="s">
        <v>58</v>
      </c>
      <c r="H24" s="2" t="s">
        <v>87</v>
      </c>
      <c r="I24" s="2" t="s">
        <v>60</v>
      </c>
      <c r="J24" s="2">
        <v>856</v>
      </c>
      <c r="K24" s="2">
        <f t="shared" si="0"/>
        <v>12840</v>
      </c>
      <c r="L24" s="2">
        <f t="shared" si="1"/>
        <v>642</v>
      </c>
      <c r="M24" s="2">
        <f t="shared" si="2"/>
        <v>1926</v>
      </c>
      <c r="N24" s="2">
        <v>856</v>
      </c>
    </row>
    <row r="25" spans="1:14" x14ac:dyDescent="0.3">
      <c r="A25" s="2" t="s">
        <v>32</v>
      </c>
      <c r="B25" s="2" t="s">
        <v>33</v>
      </c>
      <c r="C25" s="2">
        <v>150</v>
      </c>
      <c r="D25" s="2">
        <v>160</v>
      </c>
      <c r="E25" s="2" t="s">
        <v>84</v>
      </c>
      <c r="F25" s="2" t="s">
        <v>34</v>
      </c>
      <c r="G25" s="2" t="s">
        <v>72</v>
      </c>
      <c r="H25" s="2" t="s">
        <v>88</v>
      </c>
      <c r="I25" s="2" t="s">
        <v>74</v>
      </c>
      <c r="J25" s="2">
        <v>985</v>
      </c>
      <c r="K25" s="2">
        <f t="shared" si="0"/>
        <v>157600</v>
      </c>
      <c r="L25" s="2">
        <f t="shared" si="1"/>
        <v>7880</v>
      </c>
      <c r="M25" s="2">
        <f t="shared" si="2"/>
        <v>1970</v>
      </c>
      <c r="N25" s="2">
        <v>985</v>
      </c>
    </row>
    <row r="26" spans="1:14" x14ac:dyDescent="0.3">
      <c r="A26" s="2" t="s">
        <v>38</v>
      </c>
      <c r="B26" s="2" t="s">
        <v>39</v>
      </c>
      <c r="C26" s="2">
        <v>50</v>
      </c>
      <c r="D26" s="2">
        <v>60</v>
      </c>
      <c r="E26" s="2" t="s">
        <v>84</v>
      </c>
      <c r="F26" s="2" t="s">
        <v>16</v>
      </c>
      <c r="G26" s="2" t="s">
        <v>89</v>
      </c>
      <c r="H26" s="2" t="s">
        <v>90</v>
      </c>
      <c r="I26" s="2" t="s">
        <v>91</v>
      </c>
      <c r="J26" s="2">
        <v>658</v>
      </c>
      <c r="K26" s="2">
        <f t="shared" si="0"/>
        <v>39480</v>
      </c>
      <c r="L26" s="2">
        <f t="shared" si="1"/>
        <v>1974</v>
      </c>
      <c r="M26" s="2">
        <f t="shared" si="2"/>
        <v>4606</v>
      </c>
      <c r="N26" s="2">
        <v>658</v>
      </c>
    </row>
    <row r="27" spans="1:14" x14ac:dyDescent="0.3">
      <c r="A27" s="2" t="s">
        <v>13</v>
      </c>
      <c r="B27" s="2" t="s">
        <v>14</v>
      </c>
      <c r="C27" s="2">
        <v>50</v>
      </c>
      <c r="D27" s="2">
        <v>55</v>
      </c>
      <c r="E27" s="2" t="s">
        <v>92</v>
      </c>
      <c r="F27" s="2" t="s">
        <v>22</v>
      </c>
      <c r="G27" s="2" t="s">
        <v>44</v>
      </c>
      <c r="H27" s="2" t="s">
        <v>93</v>
      </c>
      <c r="I27" s="2" t="s">
        <v>46</v>
      </c>
      <c r="J27" s="2">
        <v>896</v>
      </c>
      <c r="K27" s="2">
        <f t="shared" si="0"/>
        <v>49280</v>
      </c>
      <c r="L27" s="2">
        <f t="shared" si="1"/>
        <v>2464</v>
      </c>
      <c r="M27" s="2">
        <f t="shared" si="2"/>
        <v>2016</v>
      </c>
      <c r="N27" s="2">
        <v>896</v>
      </c>
    </row>
    <row r="28" spans="1:14" x14ac:dyDescent="0.3">
      <c r="A28" s="2" t="s">
        <v>20</v>
      </c>
      <c r="B28" s="2" t="s">
        <v>21</v>
      </c>
      <c r="C28" s="2">
        <v>15</v>
      </c>
      <c r="D28" s="2">
        <v>20</v>
      </c>
      <c r="E28" s="2" t="s">
        <v>92</v>
      </c>
      <c r="F28" s="2" t="s">
        <v>28</v>
      </c>
      <c r="G28" s="2" t="s">
        <v>47</v>
      </c>
      <c r="H28" s="2" t="s">
        <v>94</v>
      </c>
      <c r="I28" s="2" t="s">
        <v>49</v>
      </c>
      <c r="J28" s="2">
        <v>577</v>
      </c>
      <c r="K28" s="2">
        <f t="shared" si="0"/>
        <v>11540</v>
      </c>
      <c r="L28" s="2">
        <f t="shared" si="1"/>
        <v>577</v>
      </c>
      <c r="M28" s="2">
        <f t="shared" si="2"/>
        <v>2308</v>
      </c>
      <c r="N28" s="2">
        <v>577</v>
      </c>
    </row>
    <row r="29" spans="1:14" x14ac:dyDescent="0.3">
      <c r="A29" s="2" t="s">
        <v>26</v>
      </c>
      <c r="B29" s="2" t="s">
        <v>27</v>
      </c>
      <c r="C29" s="2">
        <v>12</v>
      </c>
      <c r="D29" s="2">
        <v>15</v>
      </c>
      <c r="E29" s="2" t="s">
        <v>92</v>
      </c>
      <c r="F29" s="2" t="s">
        <v>34</v>
      </c>
      <c r="G29" s="2" t="s">
        <v>50</v>
      </c>
      <c r="H29" s="2" t="s">
        <v>95</v>
      </c>
      <c r="I29" s="2" t="s">
        <v>52</v>
      </c>
      <c r="J29" s="2">
        <v>987</v>
      </c>
      <c r="K29" s="2">
        <f t="shared" si="0"/>
        <v>14805</v>
      </c>
      <c r="L29" s="2">
        <f t="shared" si="1"/>
        <v>740.25</v>
      </c>
      <c r="M29" s="2">
        <f t="shared" si="2"/>
        <v>2220.75</v>
      </c>
      <c r="N29" s="2">
        <v>987</v>
      </c>
    </row>
    <row r="30" spans="1:14" x14ac:dyDescent="0.3">
      <c r="A30" s="2" t="s">
        <v>32</v>
      </c>
      <c r="B30" s="2" t="s">
        <v>33</v>
      </c>
      <c r="C30" s="2">
        <v>150</v>
      </c>
      <c r="D30" s="2">
        <v>160</v>
      </c>
      <c r="E30" s="2" t="s">
        <v>92</v>
      </c>
      <c r="F30" s="2" t="s">
        <v>16</v>
      </c>
      <c r="G30" s="2" t="s">
        <v>53</v>
      </c>
      <c r="H30" s="2" t="s">
        <v>96</v>
      </c>
      <c r="I30" s="2" t="s">
        <v>55</v>
      </c>
      <c r="J30" s="2">
        <v>897</v>
      </c>
      <c r="K30" s="2">
        <f t="shared" si="0"/>
        <v>143520</v>
      </c>
      <c r="L30" s="2">
        <f t="shared" si="1"/>
        <v>7176</v>
      </c>
      <c r="M30" s="2">
        <f t="shared" si="2"/>
        <v>1794</v>
      </c>
      <c r="N30" s="2">
        <v>897</v>
      </c>
    </row>
    <row r="31" spans="1:14" x14ac:dyDescent="0.3">
      <c r="A31" s="2" t="s">
        <v>38</v>
      </c>
      <c r="B31" s="2" t="s">
        <v>39</v>
      </c>
      <c r="C31" s="2">
        <v>50</v>
      </c>
      <c r="D31" s="2">
        <v>60</v>
      </c>
      <c r="E31" s="2" t="s">
        <v>92</v>
      </c>
      <c r="F31" s="2" t="s">
        <v>22</v>
      </c>
      <c r="G31" s="2" t="s">
        <v>44</v>
      </c>
      <c r="H31" s="2" t="s">
        <v>93</v>
      </c>
      <c r="I31" s="2" t="s">
        <v>46</v>
      </c>
      <c r="J31" s="2">
        <v>852</v>
      </c>
      <c r="K31" s="2">
        <f t="shared" si="0"/>
        <v>51120</v>
      </c>
      <c r="L31" s="2">
        <f t="shared" si="1"/>
        <v>2556</v>
      </c>
      <c r="M31" s="2">
        <f t="shared" si="2"/>
        <v>5964</v>
      </c>
      <c r="N31" s="2">
        <v>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Pie Chart</vt:lpstr>
      <vt:lpstr>Donut Chart</vt:lpstr>
      <vt:lpstr>Column Chart</vt:lpstr>
      <vt:lpstr>Line Chart</vt:lpstr>
      <vt:lpstr>Combo Chart</vt:lpstr>
      <vt:lpstr>Dashboard</vt:lpstr>
      <vt:lpstr>Pivot_Table_3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RUTURAJ DESHMUKH</dc:creator>
  <cp:lastModifiedBy>RUTURAJ DESHMUKH</cp:lastModifiedBy>
  <dcterms:created xsi:type="dcterms:W3CDTF">2025-12-02T11:00:19Z</dcterms:created>
  <dcterms:modified xsi:type="dcterms:W3CDTF">2025-12-04T04:52:51Z</dcterms:modified>
</cp:coreProperties>
</file>